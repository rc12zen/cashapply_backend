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3DBF51E0-6596-4AEF-8800-914F16D06BF7}" xr6:coauthVersionLast="47" xr6:coauthVersionMax="47" xr10:uidLastSave="{00000000-0000-0000-0000-000000000000}"/>
  <bookViews>
    <workbookView xWindow="-120" yWindow="-120" windowWidth="20730" windowHeight="11040" tabRatio="825" xr2:uid="{8843672F-79E8-49A4-886A-A5CBEDCF4A74}"/>
  </bookViews>
  <sheets>
    <sheet name="Bank State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3" l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9" i="3"/>
  <c r="D7" i="3"/>
  <c r="C7" i="3"/>
</calcChain>
</file>

<file path=xl/sharedStrings.xml><?xml version="1.0" encoding="utf-8"?>
<sst xmlns="http://schemas.openxmlformats.org/spreadsheetml/2006/main" count="30" uniqueCount="29">
  <si>
    <t>Date</t>
  </si>
  <si>
    <t>Amount</t>
  </si>
  <si>
    <t>Bank</t>
  </si>
  <si>
    <t>Standard Chartered Bank</t>
  </si>
  <si>
    <t>GL Code</t>
  </si>
  <si>
    <t>Acc No</t>
  </si>
  <si>
    <t>01250858301</t>
  </si>
  <si>
    <t>Currency</t>
  </si>
  <si>
    <t>GBP</t>
  </si>
  <si>
    <t>Customer Name</t>
  </si>
  <si>
    <t xml:space="preserve">Current Balance </t>
  </si>
  <si>
    <t>Dr</t>
  </si>
  <si>
    <t>Cr</t>
  </si>
  <si>
    <t>Opening Balance</t>
  </si>
  <si>
    <t xml:space="preserve">BACS CR CIRCLE BUSINESS SE  00000103     </t>
  </si>
  <si>
    <t xml:space="preserve">MF003020E48E9E2C00 03444961 2026050500205802ESSAR OIL (UK) LTD     </t>
  </si>
  <si>
    <t xml:space="preserve">BACS CR BUILD RES  BACSESS     </t>
  </si>
  <si>
    <t xml:space="preserve">BACS CR CYNERGY BANK LTD  3127260004139 3127     </t>
  </si>
  <si>
    <t xml:space="preserve">PIGIN00123B94813 ZENSAR TECHNOLOGIES (UK) LTD 260508163122Fund Transfer SCB to HSBC GBP     </t>
  </si>
  <si>
    <t xml:space="preserve">MF004420E495E48F00 03444961 2026050800178056ESSAR OIL (UK) LTD     </t>
  </si>
  <si>
    <t xml:space="preserve">GBS11056KGC18BR4 000274178 26051119222655 W MONROE ST STE 1200 CHICAGO ILZENSAR TECHNOLOGIES INC60603-5127 US31272700000300    </t>
  </si>
  <si>
    <t xml:space="preserve">BACS CR NGET FUNCTIONS  1120 7300001195 K     </t>
  </si>
  <si>
    <t xml:space="preserve">920912464314187XNC 81426370 2026051400174003CYNERGY BANK LTD31272700000309     </t>
  </si>
  <si>
    <t xml:space="preserve">BACS CR M GROUP WATER  NET  508736     </t>
  </si>
  <si>
    <t xml:space="preserve">GBS18056JECMVNCW ES8001289444110500000173 2605181041102/PG VILLANUEVA DE GALLEGO 41/ALLIANCE HEALTHCARE ESP ANA SA3/ES/VILLANUEVA DE GALLEGO,50830/ROC/BKBKESXPG2026051500081 87/INS/CCFRFRPPXXX   </t>
  </si>
  <si>
    <t xml:space="preserve">PIGIN00123B94865 ZENSAR TECHNOLOGIES (UK) LTD 260519155439Fund Transfer SCB to HSBC GBP     </t>
  </si>
  <si>
    <t xml:space="preserve">BACS CR JOHN LEWIS PLC  JLP BACS 4877161     </t>
  </si>
  <si>
    <t xml:space="preserve">BACS CR CIRCLE BUSINESS SE  00000135     </t>
  </si>
  <si>
    <t xml:space="preserve">BACS CR MARKS AND SPENCER  01-100022089495872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</si>
</sst>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 ;\-0\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/>
    <xf numFmtId="0" fontId="8" fillId="0" borderId="2" xfId="5" quotePrefix="1" applyFont="1" applyFill="1" applyBorder="1" applyAlignment="1" applyProtection="1"/>
    <xf numFmtId="0" fontId="2" fillId="0" borderId="3" xfId="0" applyFont="1" applyBorder="1"/>
    <xf numFmtId="0" fontId="0" fillId="0" borderId="1" xfId="0" applyBorder="1"/>
    <xf numFmtId="164" fontId="2" fillId="0" borderId="1" xfId="1" applyNumberFormat="1" applyFont="1" applyBorder="1"/>
    <xf numFmtId="43" fontId="2" fillId="0" borderId="1" xfId="1" applyFont="1" applyBorder="1"/>
    <xf numFmtId="0" fontId="7" fillId="0" borderId="0" xfId="5" quotePrefix="1" applyAlignment="1" applyProtection="1"/>
    <xf numFmtId="43" fontId="0" fillId="0" borderId="0" xfId="1" applyFont="1"/>
    <xf numFmtId="0" fontId="4" fillId="0" borderId="1" xfId="6" applyFont="1" applyBorder="1"/>
    <xf numFmtId="0" fontId="4" fillId="0" borderId="2" xfId="6" applyFont="1" applyBorder="1"/>
    <xf numFmtId="2" fontId="5" fillId="2" borderId="3" xfId="6" applyNumberFormat="1" applyFill="1" applyBorder="1"/>
    <xf numFmtId="2" fontId="5" fillId="3" borderId="1" xfId="6" applyNumberFormat="1" applyFill="1" applyBorder="1"/>
    <xf numFmtId="43" fontId="4" fillId="4" borderId="1" xfId="1" applyFont="1" applyFill="1" applyBorder="1"/>
    <xf numFmtId="0" fontId="0" fillId="0" borderId="2" xfId="0" applyBorder="1"/>
    <xf numFmtId="15" fontId="0" fillId="0" borderId="1" xfId="0" applyNumberFormat="1" applyBorder="1" applyAlignment="1">
      <alignment horizontal="left"/>
    </xf>
    <xf numFmtId="0" fontId="0" fillId="0" borderId="3" xfId="0" applyBorder="1"/>
    <xf numFmtId="0" fontId="6" fillId="0" borderId="1" xfId="0" applyFont="1" applyBorder="1"/>
    <xf numFmtId="15" fontId="6" fillId="5" borderId="1" xfId="0" applyNumberFormat="1" applyFont="1" applyFill="1" applyBorder="1"/>
    <xf numFmtId="0" fontId="6" fillId="5" borderId="2" xfId="0" applyFont="1" applyFill="1" applyBorder="1"/>
    <xf numFmtId="0" fontId="6" fillId="5" borderId="1" xfId="0" applyFont="1" applyFill="1" applyBorder="1"/>
    <xf numFmtId="0" fontId="0" fillId="5" borderId="0" xfId="0" applyFill="1"/>
    <xf numFmtId="0" fontId="6" fillId="5" borderId="0" xfId="0" applyFont="1" applyFill="1"/>
    <xf numFmtId="0" fontId="9" fillId="5" borderId="2" xfId="0" applyFont="1" applyFill="1" applyBorder="1" applyAlignment="1">
      <alignment vertical="center"/>
    </xf>
    <xf numFmtId="15" fontId="0" fillId="5" borderId="1" xfId="0" applyNumberFormat="1" applyFill="1" applyBorder="1"/>
    <xf numFmtId="0" fontId="0" fillId="5" borderId="1" xfId="0" applyFill="1" applyBorder="1"/>
  </cellXfs>
  <cellStyles count="7">
    <cellStyle name="Comma" xfId="1" builtinId="3"/>
    <cellStyle name="Comma 2" xfId="2" xr:uid="{224B8C93-925D-4EFF-A06C-A4A8A265B661}"/>
    <cellStyle name="Hyperlink 2" xfId="5" xr:uid="{6D395DED-7927-45F8-A22A-5916B5AAD03E}"/>
    <cellStyle name="Normal" xfId="0" builtinId="0"/>
    <cellStyle name="Normal 2 2 2" xfId="3" xr:uid="{A12B0056-FF6E-458C-827A-050DE003D89D}"/>
    <cellStyle name="Normal 3" xfId="6" xr:uid="{F8091C34-1710-496E-B3F1-82253F089E1B}"/>
    <cellStyle name="Normal 6" xfId="4" xr:uid="{3C58529D-6081-46E9-84E5-139008B04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Form_userAction('statementdetails','selectedAccountKey','1459987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798B-D09F-4D0F-A321-9964275AA0CD}">
  <dimension ref="A1:E23"/>
  <sheetViews>
    <sheetView tabSelected="1" workbookViewId="0">
      <selection activeCell="B11" sqref="B11"/>
    </sheetView>
  </sheetViews>
  <sheetFormatPr defaultRowHeight="15" x14ac:dyDescent="0.25"/>
  <cols>
    <col min="1" max="1" width="15.85546875" customWidth="1"/>
    <col min="2" max="2" width="49.140625" customWidth="1"/>
    <col min="3" max="3" width="21.7109375" customWidth="1"/>
    <col min="4" max="4" width="20" customWidth="1"/>
    <col min="5" max="5" width="17.28515625" customWidth="1"/>
  </cols>
  <sheetData>
    <row r="1" spans="1:5" x14ac:dyDescent="0.25">
      <c r="A1" s="1" t="s">
        <v>2</v>
      </c>
      <c r="B1" s="2" t="s">
        <v>3</v>
      </c>
      <c r="C1" s="3"/>
      <c r="D1" s="4" t="s">
        <v>4</v>
      </c>
      <c r="E1" s="5">
        <v>15415</v>
      </c>
    </row>
    <row r="2" spans="1:5" x14ac:dyDescent="0.25">
      <c r="A2" s="1" t="s">
        <v>5</v>
      </c>
      <c r="B2" s="2" t="s">
        <v>6</v>
      </c>
      <c r="C2" s="3"/>
      <c r="D2" s="4"/>
      <c r="E2" s="6"/>
    </row>
    <row r="3" spans="1:5" x14ac:dyDescent="0.25">
      <c r="A3" s="1" t="s">
        <v>7</v>
      </c>
      <c r="B3" s="2" t="s">
        <v>8</v>
      </c>
      <c r="C3" s="3"/>
      <c r="D3" s="4"/>
      <c r="E3" s="6"/>
    </row>
    <row r="4" spans="1:5" x14ac:dyDescent="0.25">
      <c r="B4" s="7"/>
      <c r="E4" s="8"/>
    </row>
    <row r="5" spans="1:5" x14ac:dyDescent="0.25">
      <c r="A5" s="9" t="s">
        <v>0</v>
      </c>
      <c r="B5" s="10" t="s">
        <v>9</v>
      </c>
      <c r="C5" s="11" t="s">
        <v>1</v>
      </c>
      <c r="D5" s="12" t="s">
        <v>1</v>
      </c>
      <c r="E5" s="13" t="s">
        <v>10</v>
      </c>
    </row>
    <row r="6" spans="1:5" x14ac:dyDescent="0.25">
      <c r="A6" s="9"/>
      <c r="B6" s="10"/>
      <c r="C6" s="11" t="s">
        <v>11</v>
      </c>
      <c r="D6" s="12" t="s">
        <v>12</v>
      </c>
      <c r="E6" s="13"/>
    </row>
    <row r="7" spans="1:5" x14ac:dyDescent="0.25">
      <c r="A7" s="4"/>
      <c r="B7" s="14"/>
      <c r="C7" s="12">
        <f>SUM(C9:C219)</f>
        <v>1220000</v>
      </c>
      <c r="D7" s="12">
        <f>SUM(D8:D219)</f>
        <v>1367377.98</v>
      </c>
      <c r="E7" s="13"/>
    </row>
    <row r="8" spans="1:5" x14ac:dyDescent="0.25">
      <c r="A8" s="15">
        <v>46143</v>
      </c>
      <c r="B8" s="14" t="s">
        <v>13</v>
      </c>
      <c r="C8" s="16"/>
      <c r="D8" s="1"/>
      <c r="E8" s="17">
        <v>177523.77000000677</v>
      </c>
    </row>
    <row r="9" spans="1:5" s="21" customFormat="1" x14ac:dyDescent="0.25">
      <c r="A9" s="18">
        <v>46143</v>
      </c>
      <c r="B9" s="19" t="s">
        <v>14</v>
      </c>
      <c r="C9" s="20">
        <v>0</v>
      </c>
      <c r="D9" s="20">
        <v>186720</v>
      </c>
      <c r="E9" s="20">
        <f>E8+D9-C9</f>
        <v>364243.77000000677</v>
      </c>
    </row>
    <row r="10" spans="1:5" s="21" customFormat="1" x14ac:dyDescent="0.25">
      <c r="A10" s="18">
        <v>46147</v>
      </c>
      <c r="B10" s="19" t="s">
        <v>15</v>
      </c>
      <c r="C10" s="20">
        <v>0</v>
      </c>
      <c r="D10" s="20">
        <v>1440</v>
      </c>
      <c r="E10" s="20">
        <f t="shared" ref="E10:E18" si="0">E9+D10-C10</f>
        <v>365683.77000000677</v>
      </c>
    </row>
    <row r="11" spans="1:5" s="21" customFormat="1" x14ac:dyDescent="0.25">
      <c r="A11" s="18">
        <v>46148</v>
      </c>
      <c r="B11" s="19" t="s">
        <v>16</v>
      </c>
      <c r="C11" s="20">
        <v>0</v>
      </c>
      <c r="D11" s="20">
        <v>54000</v>
      </c>
      <c r="E11" s="20">
        <f t="shared" si="0"/>
        <v>419683.77000000677</v>
      </c>
    </row>
    <row r="12" spans="1:5" s="21" customFormat="1" x14ac:dyDescent="0.25">
      <c r="A12" s="18">
        <v>46149</v>
      </c>
      <c r="B12" s="22" t="s">
        <v>17</v>
      </c>
      <c r="C12" s="20">
        <v>0</v>
      </c>
      <c r="D12" s="20">
        <v>804656.94</v>
      </c>
      <c r="E12" s="20">
        <f t="shared" si="0"/>
        <v>1224340.7100000067</v>
      </c>
    </row>
    <row r="13" spans="1:5" s="21" customFormat="1" x14ac:dyDescent="0.25">
      <c r="A13" s="18">
        <v>46150</v>
      </c>
      <c r="B13" s="19" t="s">
        <v>18</v>
      </c>
      <c r="C13" s="20">
        <v>1070000</v>
      </c>
      <c r="D13" s="20">
        <v>0</v>
      </c>
      <c r="E13" s="20">
        <f t="shared" si="0"/>
        <v>154340.71000000671</v>
      </c>
    </row>
    <row r="14" spans="1:5" s="21" customFormat="1" x14ac:dyDescent="0.25">
      <c r="A14" s="18">
        <v>46150</v>
      </c>
      <c r="B14" s="19" t="s">
        <v>19</v>
      </c>
      <c r="C14" s="20">
        <v>0</v>
      </c>
      <c r="D14" s="20">
        <v>2880</v>
      </c>
      <c r="E14" s="20">
        <f t="shared" si="0"/>
        <v>157220.71000000671</v>
      </c>
    </row>
    <row r="15" spans="1:5" s="21" customFormat="1" x14ac:dyDescent="0.25">
      <c r="A15" s="18">
        <v>46153</v>
      </c>
      <c r="B15" s="23" t="s">
        <v>20</v>
      </c>
      <c r="C15" s="20">
        <v>0</v>
      </c>
      <c r="D15" s="20">
        <v>11185</v>
      </c>
      <c r="E15" s="20">
        <f t="shared" si="0"/>
        <v>168405.71000000671</v>
      </c>
    </row>
    <row r="16" spans="1:5" s="21" customFormat="1" x14ac:dyDescent="0.25">
      <c r="A16" s="18">
        <v>46156</v>
      </c>
      <c r="B16" s="23" t="s">
        <v>21</v>
      </c>
      <c r="C16" s="20">
        <v>0</v>
      </c>
      <c r="D16" s="20">
        <v>31980</v>
      </c>
      <c r="E16" s="20">
        <f t="shared" si="0"/>
        <v>200385.71000000671</v>
      </c>
    </row>
    <row r="17" spans="1:5" s="21" customFormat="1" x14ac:dyDescent="0.25">
      <c r="A17" s="18">
        <v>46156</v>
      </c>
      <c r="B17" s="23" t="s">
        <v>22</v>
      </c>
      <c r="C17" s="20">
        <v>0</v>
      </c>
      <c r="D17" s="20">
        <v>78525.600000000006</v>
      </c>
      <c r="E17" s="20">
        <f t="shared" si="0"/>
        <v>278911.31000000669</v>
      </c>
    </row>
    <row r="18" spans="1:5" s="21" customFormat="1" x14ac:dyDescent="0.25">
      <c r="A18" s="18">
        <v>46157</v>
      </c>
      <c r="B18" s="19" t="s">
        <v>23</v>
      </c>
      <c r="C18" s="20">
        <v>0</v>
      </c>
      <c r="D18" s="20">
        <v>13016</v>
      </c>
      <c r="E18" s="20">
        <f t="shared" si="0"/>
        <v>291927.31000000669</v>
      </c>
    </row>
    <row r="19" spans="1:5" s="21" customFormat="1" x14ac:dyDescent="0.25">
      <c r="A19" s="24">
        <v>46160</v>
      </c>
      <c r="B19" s="25" t="s">
        <v>24</v>
      </c>
      <c r="C19" s="25">
        <v>0</v>
      </c>
      <c r="D19" s="25">
        <v>18002.59</v>
      </c>
      <c r="E19" s="20">
        <f>E18+D19-C19</f>
        <v>309929.90000000672</v>
      </c>
    </row>
    <row r="20" spans="1:5" s="21" customFormat="1" x14ac:dyDescent="0.25">
      <c r="A20" s="24">
        <v>46161</v>
      </c>
      <c r="B20" s="25" t="s">
        <v>25</v>
      </c>
      <c r="C20" s="25">
        <v>150000</v>
      </c>
      <c r="D20" s="25">
        <v>0</v>
      </c>
      <c r="E20" s="20">
        <f t="shared" ref="E20:E23" si="1">E19+D20-C20</f>
        <v>159929.90000000672</v>
      </c>
    </row>
    <row r="21" spans="1:5" s="21" customFormat="1" x14ac:dyDescent="0.25">
      <c r="A21" s="24">
        <v>46163</v>
      </c>
      <c r="B21" s="25" t="s">
        <v>26</v>
      </c>
      <c r="C21" s="25">
        <v>0</v>
      </c>
      <c r="D21" s="25">
        <v>81810</v>
      </c>
      <c r="E21" s="20">
        <f t="shared" si="1"/>
        <v>241739.90000000672</v>
      </c>
    </row>
    <row r="22" spans="1:5" s="21" customFormat="1" x14ac:dyDescent="0.25">
      <c r="A22" s="24">
        <v>46164</v>
      </c>
      <c r="B22" s="25" t="s">
        <v>27</v>
      </c>
      <c r="C22" s="25">
        <v>0</v>
      </c>
      <c r="D22" s="25">
        <v>65321.45</v>
      </c>
      <c r="E22" s="20">
        <f t="shared" si="1"/>
        <v>307061.35000000673</v>
      </c>
    </row>
    <row r="23" spans="1:5" s="21" customFormat="1" x14ac:dyDescent="0.25">
      <c r="A23" s="24">
        <v>46164</v>
      </c>
      <c r="B23" s="25" t="s">
        <v>28</v>
      </c>
      <c r="C23" s="25">
        <v>0</v>
      </c>
      <c r="D23" s="25">
        <v>17840.400000000001</v>
      </c>
      <c r="E23" s="20">
        <f t="shared" si="1"/>
        <v>324901.75000000675</v>
      </c>
    </row>
  </sheetData>
  <hyperlinks>
    <hyperlink ref="B2" r:id="rId1" tooltip="Show Statement Details" display="javascript:Form_userAction('statementdetails','selectedAccountKey','1459987');" xr:uid="{2BE66E66-A72B-455B-8FCB-294000632E6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Props1.xml><?xml version="1.0" encoding="utf-8"?>
<ds:datastoreItem xmlns:ds="http://schemas.openxmlformats.org/officeDocument/2006/customXml" ds:itemID="{60B353B5-4D43-48F3-A5D9-2ECAAA90D1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586CED-95C7-47FD-AF73-D93A4005C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513155-4EE1-43B2-89B9-779FB1070842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2026-05-24T19:25:36Z</dcterms:created>
  <dcterms:modified xsi:type="dcterms:W3CDTF">2026-06-17T05:35:45Z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  <property fmtid="{D5CDD505-2E9C-101B-9397-08002B2CF9AE}" pid="3" name="MediaServiceImageTags">
    <vt:lpwstr/>
  </property>
</Properties>
</file>