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A25BF565-5F25-4142-AED7-A79E25CF0E3C}" xr6:coauthVersionLast="47" xr6:coauthVersionMax="47" xr10:uidLastSave="{00000000-0000-0000-0000-000000000000}"/>
  <bookViews>
    <workbookView xWindow="-120" yWindow="-120" windowWidth="20730" windowHeight="11040" tabRatio="810" xr2:uid="{871D55EB-1AEB-4A6B-9F2D-616DDF2ABADD}"/>
  </bookViews>
  <sheets>
    <sheet name="Bank State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3" l="1"/>
  <c r="E10" i="3" s="1"/>
  <c r="E11" i="3" s="1"/>
  <c r="E12" i="3" s="1"/>
  <c r="E13" i="3" s="1"/>
  <c r="E14" i="3" s="1"/>
  <c r="E15" i="3" s="1"/>
</calcChain>
</file>

<file path=xl/sharedStrings.xml><?xml version="1.0" encoding="utf-8"?>
<sst xmlns="http://schemas.openxmlformats.org/spreadsheetml/2006/main" count="28" uniqueCount="27">
  <si>
    <t>Date</t>
  </si>
  <si>
    <t>Amount</t>
  </si>
  <si>
    <t>Bank</t>
  </si>
  <si>
    <t>HSBC</t>
  </si>
  <si>
    <t>Gl Code</t>
  </si>
  <si>
    <t>Acc No</t>
  </si>
  <si>
    <t>NL46HSBC2038392110</t>
  </si>
  <si>
    <t>Currency</t>
  </si>
  <si>
    <t>EUR</t>
  </si>
  <si>
    <t>Zensar Information Technologies B.V.</t>
  </si>
  <si>
    <t>Customer Name</t>
  </si>
  <si>
    <t>Balance</t>
  </si>
  <si>
    <t>Dr</t>
  </si>
  <si>
    <t>Cr</t>
  </si>
  <si>
    <t>CHF</t>
  </si>
  <si>
    <t>Opening Balance</t>
  </si>
  <si>
    <t>Bank Charge-TTAMN6003TBFRPN
FGN BNK CHG</t>
  </si>
  <si>
    <t>EURO BUSINESS CENTER. 26947FZ01G3C /NL80RABO0366391283</t>
  </si>
  <si>
    <t>GRANT THORNTON ACCOUNTANTS 34067FZ01HNA /NL89RABO0391606271</t>
  </si>
  <si>
    <t>BSURE-DIGITAL B.V. 77897FZ00KJX /NL09ABNA0254326250</t>
  </si>
  <si>
    <t>BELASTINGDIENST 85147G1006P6 /NL86INGB0002445588 6122 8226 0930 4120 ADVANCE TAX PAYMENT FY26-27</t>
  </si>
  <si>
    <t>ZENSAR TECHNOLOGIES UK LTD 53007G000MHF /GB38SCBL60910412508583</t>
  </si>
  <si>
    <t>ZENSAR TECHNOLOGIES LTD 03337G000LW3 /105736698001 OFFSHORE FUND TRANFER-111 11142700000003</t>
  </si>
  <si>
    <t>GRANT THORNTON ACCOUNTANTS 06177G6010V5 /NL89RABO0391606271</t>
  </si>
  <si>
    <t>BELASTINGDIENST 10707G701UPH /NL86INGB0002445588 2861 2282 2660 1040 PAYROLLTAXAPR-26</t>
  </si>
  <si>
    <t>GAYATRI M 38067G801VI0 /NL52ABNA0111967791 EA9945E87D6B49A18A96</t>
  </si>
  <si>
    <t>VOPAK GLOBAL IT PNUM1956607492 32872700000002 32872700000001/ISDT/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</si>
</sst>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u/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9"/>
      <color rgb="FF000000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2" xfId="0" applyFont="1" applyBorder="1"/>
    <xf numFmtId="0" fontId="7" fillId="0" borderId="2" xfId="4" quotePrefix="1" applyFont="1" applyBorder="1" applyAlignment="1" applyProtection="1"/>
    <xf numFmtId="0" fontId="8" fillId="0" borderId="0" xfId="0" applyFont="1"/>
    <xf numFmtId="0" fontId="3" fillId="0" borderId="2" xfId="0" applyFont="1" applyBorder="1"/>
    <xf numFmtId="2" fontId="3" fillId="2" borderId="2" xfId="0" applyNumberFormat="1" applyFont="1" applyFill="1" applyBorder="1"/>
    <xf numFmtId="2" fontId="3" fillId="3" borderId="2" xfId="0" applyNumberFormat="1" applyFont="1" applyFill="1" applyBorder="1"/>
    <xf numFmtId="2" fontId="3" fillId="4" borderId="2" xfId="0" applyNumberFormat="1" applyFont="1" applyFill="1" applyBorder="1"/>
    <xf numFmtId="0" fontId="0" fillId="0" borderId="2" xfId="0" applyBorder="1"/>
    <xf numFmtId="15" fontId="0" fillId="0" borderId="2" xfId="0" applyNumberFormat="1" applyBorder="1" applyAlignment="1">
      <alignment horizontal="left"/>
    </xf>
    <xf numFmtId="4" fontId="0" fillId="0" borderId="2" xfId="0" applyNumberFormat="1" applyBorder="1"/>
    <xf numFmtId="15" fontId="5" fillId="0" borderId="2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 vertical="top" wrapText="1"/>
    </xf>
    <xf numFmtId="4" fontId="5" fillId="0" borderId="3" xfId="0" applyNumberFormat="1" applyFont="1" applyBorder="1"/>
    <xf numFmtId="4" fontId="5" fillId="0" borderId="2" xfId="0" applyNumberFormat="1" applyFont="1" applyBorder="1"/>
    <xf numFmtId="0" fontId="5" fillId="0" borderId="2" xfId="0" applyFont="1" applyBorder="1"/>
    <xf numFmtId="15" fontId="5" fillId="0" borderId="2" xfId="0" applyNumberFormat="1" applyFont="1" applyBorder="1"/>
    <xf numFmtId="4" fontId="4" fillId="5" borderId="2" xfId="0" applyNumberFormat="1" applyFont="1" applyFill="1" applyBorder="1" applyAlignment="1">
      <alignment horizontal="right" vertical="top" wrapText="1"/>
    </xf>
    <xf numFmtId="15" fontId="5" fillId="6" borderId="2" xfId="0" applyNumberFormat="1" applyFont="1" applyFill="1" applyBorder="1" applyAlignment="1">
      <alignment horizontal="left"/>
    </xf>
    <xf numFmtId="0" fontId="5" fillId="6" borderId="2" xfId="0" applyFont="1" applyFill="1" applyBorder="1" applyAlignment="1">
      <alignment horizontal="left" vertical="top" wrapText="1"/>
    </xf>
    <xf numFmtId="0" fontId="5" fillId="6" borderId="2" xfId="0" applyFont="1" applyFill="1" applyBorder="1"/>
    <xf numFmtId="4" fontId="0" fillId="6" borderId="2" xfId="0" applyNumberFormat="1" applyFill="1" applyBorder="1"/>
    <xf numFmtId="0" fontId="0" fillId="6" borderId="0" xfId="0" applyFill="1"/>
    <xf numFmtId="4" fontId="4" fillId="6" borderId="3" xfId="0" applyNumberFormat="1" applyFont="1" applyFill="1" applyBorder="1" applyAlignment="1">
      <alignment horizontal="right" vertical="top" wrapText="1"/>
    </xf>
    <xf numFmtId="4" fontId="5" fillId="6" borderId="2" xfId="0" applyNumberFormat="1" applyFont="1" applyFill="1" applyBorder="1"/>
    <xf numFmtId="0" fontId="5" fillId="6" borderId="0" xfId="0" applyFont="1" applyFill="1" applyAlignment="1">
      <alignment horizontal="left" vertical="top" wrapText="1"/>
    </xf>
    <xf numFmtId="15" fontId="5" fillId="6" borderId="1" xfId="0" applyNumberFormat="1" applyFont="1" applyFill="1" applyBorder="1" applyAlignment="1">
      <alignment horizontal="left"/>
    </xf>
    <xf numFmtId="0" fontId="5" fillId="6" borderId="1" xfId="0" applyFont="1" applyFill="1" applyBorder="1" applyAlignment="1">
      <alignment vertical="top" wrapText="1"/>
    </xf>
    <xf numFmtId="0" fontId="5" fillId="6" borderId="4" xfId="0" applyFont="1" applyFill="1" applyBorder="1"/>
    <xf numFmtId="0" fontId="5" fillId="6" borderId="1" xfId="0" applyFont="1" applyFill="1" applyBorder="1"/>
    <xf numFmtId="4" fontId="0" fillId="6" borderId="1" xfId="0" applyNumberFormat="1" applyFill="1" applyBorder="1"/>
    <xf numFmtId="0" fontId="5" fillId="6" borderId="0" xfId="0" applyFont="1" applyFill="1" applyAlignment="1">
      <alignment wrapText="1"/>
    </xf>
    <xf numFmtId="0" fontId="4" fillId="6" borderId="0" xfId="0" applyFont="1" applyFill="1" applyAlignment="1">
      <alignment horizontal="right" vertical="top" wrapText="1"/>
    </xf>
    <xf numFmtId="0" fontId="4" fillId="6" borderId="2" xfId="0" applyFont="1" applyFill="1" applyBorder="1" applyAlignment="1">
      <alignment horizontal="right" vertical="top" wrapText="1"/>
    </xf>
    <xf numFmtId="0" fontId="9" fillId="6" borderId="2" xfId="0" applyFont="1" applyFill="1" applyBorder="1" applyAlignment="1">
      <alignment horizontal="left" vertical="top" wrapText="1"/>
    </xf>
    <xf numFmtId="4" fontId="9" fillId="6" borderId="2" xfId="0" applyNumberFormat="1" applyFont="1" applyFill="1" applyBorder="1" applyAlignment="1">
      <alignment horizontal="right" wrapText="1"/>
    </xf>
    <xf numFmtId="4" fontId="9" fillId="6" borderId="2" xfId="0" applyNumberFormat="1" applyFont="1" applyFill="1" applyBorder="1" applyAlignment="1">
      <alignment horizontal="right" vertical="top" wrapText="1"/>
    </xf>
    <xf numFmtId="0" fontId="9" fillId="6" borderId="2" xfId="0" applyFont="1" applyFill="1" applyBorder="1" applyAlignment="1">
      <alignment horizontal="right" wrapText="1"/>
    </xf>
  </cellXfs>
  <cellStyles count="5">
    <cellStyle name="Comma 2" xfId="1" xr:uid="{3F980EB2-7483-4BBE-9DC5-966C06899D2B}"/>
    <cellStyle name="Hyperlink 2" xfId="4" xr:uid="{21F87673-FFEA-4991-B12C-FBB55167DE58}"/>
    <cellStyle name="Normal" xfId="0" builtinId="0"/>
    <cellStyle name="Normal 2 2 2" xfId="2" xr:uid="{C61461E3-DC74-4BF5-9831-5645639FB4B3}"/>
    <cellStyle name="Normal 6" xfId="3" xr:uid="{FFA05FB7-28C0-45C4-A992-38AEF0DA1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D48A-90DC-4479-912D-9406D6BCD354}">
  <dimension ref="A1:E21"/>
  <sheetViews>
    <sheetView tabSelected="1" topLeftCell="A3" workbookViewId="0">
      <selection activeCell="B11" sqref="B11"/>
    </sheetView>
  </sheetViews>
  <sheetFormatPr defaultRowHeight="15" x14ac:dyDescent="0.25"/>
  <cols>
    <col min="1" max="1" width="17.85546875" customWidth="1"/>
    <col min="2" max="2" width="44" customWidth="1"/>
    <col min="3" max="3" width="17.42578125" customWidth="1"/>
    <col min="4" max="4" width="15.5703125" customWidth="1"/>
    <col min="5" max="5" width="20.42578125" customWidth="1"/>
  </cols>
  <sheetData>
    <row r="1" spans="1:5" x14ac:dyDescent="0.25">
      <c r="A1" s="1" t="s">
        <v>2</v>
      </c>
      <c r="B1" s="2" t="s">
        <v>3</v>
      </c>
      <c r="C1" s="1"/>
      <c r="D1" s="1" t="s">
        <v>4</v>
      </c>
      <c r="E1" s="1">
        <v>15425</v>
      </c>
    </row>
    <row r="2" spans="1:5" x14ac:dyDescent="0.25">
      <c r="A2" s="1" t="s">
        <v>5</v>
      </c>
      <c r="B2" s="3" t="s">
        <v>6</v>
      </c>
      <c r="C2" s="1"/>
      <c r="D2" s="1"/>
      <c r="E2" s="1"/>
    </row>
    <row r="3" spans="1:5" x14ac:dyDescent="0.25">
      <c r="A3" s="1" t="s">
        <v>7</v>
      </c>
      <c r="B3" s="2" t="s">
        <v>8</v>
      </c>
      <c r="C3" s="1"/>
      <c r="D3" s="1"/>
      <c r="E3" s="1"/>
    </row>
    <row r="4" spans="1:5" x14ac:dyDescent="0.25">
      <c r="B4" t="s">
        <v>9</v>
      </c>
    </row>
    <row r="6" spans="1:5" x14ac:dyDescent="0.25">
      <c r="A6" s="4" t="s">
        <v>0</v>
      </c>
      <c r="B6" s="4" t="s">
        <v>10</v>
      </c>
      <c r="C6" s="5" t="s">
        <v>1</v>
      </c>
      <c r="D6" s="6" t="s">
        <v>1</v>
      </c>
      <c r="E6" s="7" t="s">
        <v>11</v>
      </c>
    </row>
    <row r="7" spans="1:5" x14ac:dyDescent="0.25">
      <c r="A7" s="8"/>
      <c r="B7" s="8"/>
      <c r="C7" s="5" t="s">
        <v>12</v>
      </c>
      <c r="D7" s="6" t="s">
        <v>13</v>
      </c>
      <c r="E7" s="7" t="s">
        <v>14</v>
      </c>
    </row>
    <row r="8" spans="1:5" x14ac:dyDescent="0.25">
      <c r="A8" s="9">
        <v>46143</v>
      </c>
      <c r="B8" s="8" t="s">
        <v>15</v>
      </c>
      <c r="C8" s="8"/>
      <c r="D8" s="8"/>
      <c r="E8" s="10">
        <v>352113.26999999961</v>
      </c>
    </row>
    <row r="9" spans="1:5" ht="25.5" x14ac:dyDescent="0.25">
      <c r="A9" s="11">
        <v>46146</v>
      </c>
      <c r="B9" s="12" t="s">
        <v>16</v>
      </c>
      <c r="C9" s="13">
        <v>8.75</v>
      </c>
      <c r="D9" s="14"/>
      <c r="E9" s="10">
        <f>E8+D9-C9</f>
        <v>352104.51999999961</v>
      </c>
    </row>
    <row r="10" spans="1:5" s="22" customFormat="1" x14ac:dyDescent="0.25">
      <c r="A10" s="18">
        <v>46154</v>
      </c>
      <c r="B10" s="20" t="s">
        <v>17</v>
      </c>
      <c r="C10" s="23">
        <v>152.71</v>
      </c>
      <c r="D10" s="24"/>
      <c r="E10" s="21">
        <f t="shared" ref="E10:E15" si="0">E9+D10-C10</f>
        <v>351951.80999999959</v>
      </c>
    </row>
    <row r="11" spans="1:5" s="22" customFormat="1" ht="30" x14ac:dyDescent="0.25">
      <c r="A11" s="18">
        <v>46154</v>
      </c>
      <c r="B11" s="25" t="s">
        <v>18</v>
      </c>
      <c r="C11" s="20">
        <v>578.45000000000005</v>
      </c>
      <c r="D11" s="24"/>
      <c r="E11" s="21">
        <f t="shared" si="0"/>
        <v>351373.35999999958</v>
      </c>
    </row>
    <row r="12" spans="1:5" s="22" customFormat="1" ht="30" x14ac:dyDescent="0.25">
      <c r="A12" s="18">
        <v>46154</v>
      </c>
      <c r="B12" s="19" t="s">
        <v>19</v>
      </c>
      <c r="C12" s="20">
        <v>1626.24</v>
      </c>
      <c r="D12" s="20"/>
      <c r="E12" s="21">
        <f t="shared" si="0"/>
        <v>349747.11999999959</v>
      </c>
    </row>
    <row r="13" spans="1:5" s="22" customFormat="1" x14ac:dyDescent="0.25">
      <c r="A13" s="18">
        <v>46155</v>
      </c>
      <c r="B13" s="20" t="s">
        <v>20</v>
      </c>
      <c r="C13" s="33">
        <v>28651</v>
      </c>
      <c r="D13" s="20"/>
      <c r="E13" s="21">
        <f t="shared" si="0"/>
        <v>321096.11999999959</v>
      </c>
    </row>
    <row r="14" spans="1:5" s="22" customFormat="1" ht="30" x14ac:dyDescent="0.25">
      <c r="A14" s="18">
        <v>46155</v>
      </c>
      <c r="B14" s="31" t="s">
        <v>21</v>
      </c>
      <c r="C14" s="32">
        <v>522</v>
      </c>
      <c r="D14" s="20"/>
      <c r="E14" s="21">
        <f t="shared" si="0"/>
        <v>320574.11999999959</v>
      </c>
    </row>
    <row r="15" spans="1:5" s="22" customFormat="1" ht="45" x14ac:dyDescent="0.25">
      <c r="A15" s="26">
        <v>46155</v>
      </c>
      <c r="B15" s="27" t="s">
        <v>22</v>
      </c>
      <c r="C15" s="28">
        <v>802.52</v>
      </c>
      <c r="D15" s="29"/>
      <c r="E15" s="30">
        <f t="shared" si="0"/>
        <v>319771.59999999957</v>
      </c>
    </row>
    <row r="16" spans="1:5" s="22" customFormat="1" ht="25.5" x14ac:dyDescent="0.25">
      <c r="A16" s="18">
        <v>46161</v>
      </c>
      <c r="B16" s="34" t="s">
        <v>23</v>
      </c>
      <c r="C16" s="35">
        <v>191.11</v>
      </c>
      <c r="D16" s="24"/>
      <c r="E16" s="36">
        <v>319580.49</v>
      </c>
    </row>
    <row r="17" spans="1:5" s="22" customFormat="1" ht="38.25" x14ac:dyDescent="0.25">
      <c r="A17" s="18">
        <v>46162</v>
      </c>
      <c r="B17" s="34" t="s">
        <v>24</v>
      </c>
      <c r="C17" s="37">
        <v>11475</v>
      </c>
      <c r="D17" s="20"/>
      <c r="E17" s="36">
        <v>308105.49</v>
      </c>
    </row>
    <row r="18" spans="1:5" s="22" customFormat="1" ht="38.25" x14ac:dyDescent="0.25">
      <c r="A18" s="18">
        <v>46163</v>
      </c>
      <c r="B18" s="34" t="s">
        <v>25</v>
      </c>
      <c r="C18" s="35">
        <v>196.97</v>
      </c>
      <c r="D18" s="20"/>
      <c r="E18" s="36">
        <v>307908.52</v>
      </c>
    </row>
    <row r="19" spans="1:5" s="22" customFormat="1" ht="25.5" x14ac:dyDescent="0.25">
      <c r="A19" s="18">
        <v>46164</v>
      </c>
      <c r="B19" s="34" t="s">
        <v>26</v>
      </c>
      <c r="C19" s="20"/>
      <c r="D19" s="37">
        <v>34180.080000000002</v>
      </c>
      <c r="E19" s="36">
        <v>342088.6</v>
      </c>
    </row>
    <row r="20" spans="1:5" x14ac:dyDescent="0.25">
      <c r="A20" s="16"/>
      <c r="B20" s="8"/>
      <c r="C20" s="8"/>
      <c r="D20" s="15"/>
      <c r="E20" s="10"/>
    </row>
    <row r="21" spans="1:5" x14ac:dyDescent="0.25">
      <c r="A21" s="16"/>
      <c r="B21" s="15"/>
      <c r="C21" s="17"/>
      <c r="D21" s="15"/>
      <c r="E21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A6AB33-3751-4228-8D4D-D392727407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031B26-B2AE-4C07-B92E-E75CD626FD81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3.xml><?xml version="1.0" encoding="utf-8"?>
<ds:datastoreItem xmlns:ds="http://schemas.openxmlformats.org/officeDocument/2006/customXml" ds:itemID="{0F5696BC-5C8C-40E4-9E40-4DBDE7B393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2026-05-23T20:22:12Z</dcterms:created>
  <dcterms:modified xsi:type="dcterms:W3CDTF">2026-06-17T05:37:38Z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0x01010065A5B2938AACCA4B96693223FF8155CB</vt:lpwstr>
  </property>
</Properties>
</file>