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A2522597-5B45-4CA6-9458-780C8C9C9B4A}" xr6:coauthVersionLast="47" xr6:coauthVersionMax="47" xr10:uidLastSave="{00000000-0000-0000-0000-000000000000}"/>
  <bookViews>
    <workbookView xWindow="-120" yWindow="-120" windowWidth="20730" windowHeight="11040" tabRatio="747" xr2:uid="{EF8E8504-CD2B-40A4-90ED-F384C1A701FF}"/>
  </bookViews>
  <sheets>
    <sheet name="Bank Stat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</calcChain>
</file>

<file path=xl/sharedStrings.xml><?xml version="1.0" encoding="utf-8"?>
<sst xmlns="http://schemas.openxmlformats.org/spreadsheetml/2006/main" count="20" uniqueCount="18">
  <si>
    <t>Cr</t>
  </si>
  <si>
    <t>Dr</t>
  </si>
  <si>
    <t>Date</t>
  </si>
  <si>
    <t>Amount</t>
  </si>
  <si>
    <t>Bank</t>
  </si>
  <si>
    <t>HSBC</t>
  </si>
  <si>
    <t>Gl Code</t>
  </si>
  <si>
    <t>Acc No</t>
  </si>
  <si>
    <t>89542087</t>
  </si>
  <si>
    <t>Currency</t>
  </si>
  <si>
    <t>USD</t>
  </si>
  <si>
    <t>Customer Name</t>
  </si>
  <si>
    <t>Balance</t>
  </si>
  <si>
    <t>Opening Balance</t>
  </si>
  <si>
    <t>/REMI/31272700000301 31272700000292 31272700000302 131425136/OCMT
/USD232194,00//BENM/GB48HBUK40127689542087 Zensar Technologies (U
K) Limited/EXCH/000000000000//ORDP/ZENSAR TECHNOLOGIES INC 000274
178 55 W MONROE ST STE 1200 CHICAGO IL 6/OBK/MRMDUS33XXX HSBC BAN
K USA, N.A. 66 HUDSON BOULEVARD NEW YORK</t>
  </si>
  <si>
    <t>/REMI/HSBC USD TO HSBC USD INTEREST ACC FUND TRANSFER /DAS/REF:55 447G3010XJ/OCMT/USD250000,00//BENM/40127699506373 Zensar Technolo gies (UK) Limited/EXCH/000000000000//ORDP/Zensar Technologies (UK ) Limited Lower Ground Ground &amp; First Floor 4 5</t>
  </si>
  <si>
    <t>/REMI//URI/31272600004182///ROC/TRF BY M3BI LLC 2026052000282005 /INS/PNCCUS33XXX /INS/USABA043000096/OCMT/USD24 162,00//BENM/89542087 ZENSAR TECHNOLOGIES (UK) LIMITED/EXCH/00000 0000000//ORDP/BridgeView Life Sciences, LLC 3828180906 2 RESEARCH WAY STE 100 PRINCE/OBK/PNCCUS33XXX PNC BANK, N.A. 222 DELAWARE A VENUE WILMINGTON</t>
  </si>
  <si>
    <t>/REMI//URI/31272700000298///ROC/TRF BY M3BI LLC 2026052200470443 /INS/PNCCUS33XXX /INS/USABA043000096/OCMT/USD55 251,00//BENM/89542087 ZENSAR TECHNOLOGIES (UK) LIMITED/EXCH/00000 0000000//ORDP/M3BI LLC 3911245483 6929 E GREENWAY PKWY STE 190 SC OTTSDALE AZ US 8525/OBK/PNCCUS33XXX PNC BANK, N.A. 222 DELAWARE A VENUE 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</si>
</sst>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1" xfId="0" applyFont="1" applyBorder="1"/>
    <xf numFmtId="0" fontId="7" fillId="0" borderId="1" xfId="4" quotePrefix="1" applyFont="1" applyBorder="1" applyAlignment="1" applyProtection="1"/>
    <xf numFmtId="0" fontId="3" fillId="0" borderId="1" xfId="0" applyFont="1" applyBorder="1"/>
    <xf numFmtId="2" fontId="3" fillId="2" borderId="1" xfId="0" applyNumberFormat="1" applyFont="1" applyFill="1" applyBorder="1"/>
    <xf numFmtId="2" fontId="3" fillId="3" borderId="1" xfId="0" applyNumberFormat="1" applyFont="1" applyFill="1" applyBorder="1"/>
    <xf numFmtId="2" fontId="3" fillId="4" borderId="1" xfId="0" applyNumberFormat="1" applyFont="1" applyFill="1" applyBorder="1"/>
    <xf numFmtId="0" fontId="0" fillId="0" borderId="1" xfId="0" applyBorder="1"/>
    <xf numFmtId="15" fontId="0" fillId="0" borderId="1" xfId="0" applyNumberFormat="1" applyBorder="1" applyAlignment="1">
      <alignment horizontal="left"/>
    </xf>
    <xf numFmtId="4" fontId="0" fillId="0" borderId="1" xfId="0" applyNumberFormat="1" applyBorder="1"/>
    <xf numFmtId="15" fontId="5" fillId="0" borderId="1" xfId="0" applyNumberFormat="1" applyFont="1" applyBorder="1"/>
    <xf numFmtId="0" fontId="5" fillId="0" borderId="1" xfId="0" applyFont="1" applyBorder="1" applyAlignment="1">
      <alignment wrapText="1"/>
    </xf>
    <xf numFmtId="0" fontId="8" fillId="6" borderId="1" xfId="0" applyFont="1" applyFill="1" applyBorder="1" applyAlignment="1">
      <alignment horizontal="left" vertical="top" wrapText="1"/>
    </xf>
    <xf numFmtId="4" fontId="8" fillId="6" borderId="2" xfId="0" applyNumberFormat="1" applyFont="1" applyFill="1" applyBorder="1" applyAlignment="1">
      <alignment horizontal="right" wrapText="1"/>
    </xf>
    <xf numFmtId="0" fontId="5" fillId="0" borderId="1" xfId="0" applyFont="1" applyBorder="1"/>
    <xf numFmtId="4" fontId="5" fillId="0" borderId="1" xfId="0" applyNumberFormat="1" applyFont="1" applyBorder="1"/>
    <xf numFmtId="0" fontId="5" fillId="5" borderId="1" xfId="0" applyFont="1" applyFill="1" applyBorder="1"/>
    <xf numFmtId="0" fontId="8" fillId="6" borderId="1" xfId="0" applyFont="1" applyFill="1" applyBorder="1" applyAlignment="1">
      <alignment horizontal="right" wrapText="1"/>
    </xf>
    <xf numFmtId="15" fontId="5" fillId="7" borderId="1" xfId="0" applyNumberFormat="1" applyFont="1" applyFill="1" applyBorder="1"/>
    <xf numFmtId="0" fontId="5" fillId="7" borderId="1" xfId="0" applyFont="1" applyFill="1" applyBorder="1" applyAlignment="1">
      <alignment wrapText="1"/>
    </xf>
    <xf numFmtId="0" fontId="0" fillId="7" borderId="1" xfId="0" applyFill="1" applyBorder="1"/>
    <xf numFmtId="0" fontId="5" fillId="7" borderId="1" xfId="0" applyFont="1" applyFill="1" applyBorder="1"/>
    <xf numFmtId="4" fontId="0" fillId="7" borderId="1" xfId="0" applyNumberFormat="1" applyFill="1" applyBorder="1"/>
    <xf numFmtId="0" fontId="0" fillId="7" borderId="0" xfId="0" applyFill="1"/>
    <xf numFmtId="0" fontId="8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right" wrapText="1"/>
    </xf>
    <xf numFmtId="4" fontId="8" fillId="7" borderId="2" xfId="0" applyNumberFormat="1" applyFont="1" applyFill="1" applyBorder="1" applyAlignment="1">
      <alignment horizontal="right" wrapText="1"/>
    </xf>
  </cellXfs>
  <cellStyles count="5">
    <cellStyle name="Comma 2" xfId="1" xr:uid="{0D12FE4D-7688-413F-AB58-EDF90C9F5BA4}"/>
    <cellStyle name="Hyperlink 2" xfId="4" xr:uid="{BED4C966-B83E-4A7A-9FBB-45B8AD053B18}"/>
    <cellStyle name="Normal" xfId="0" builtinId="0"/>
    <cellStyle name="Normal 2 2 2" xfId="2" xr:uid="{1BE60F14-F954-466E-8FB2-3F94274CBF4B}"/>
    <cellStyle name="Normal 6" xfId="3" xr:uid="{31636CEE-244D-4218-A7AD-7357996B28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Form_userAction('statementdetails','selectedAccountKey','1459987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A923-3924-48F3-867D-3826DC995BB5}">
  <dimension ref="A1:E15"/>
  <sheetViews>
    <sheetView tabSelected="1" workbookViewId="0">
      <selection activeCell="B9" sqref="B9"/>
    </sheetView>
  </sheetViews>
  <sheetFormatPr defaultRowHeight="15" x14ac:dyDescent="0.25"/>
  <cols>
    <col min="1" max="1" width="15.42578125" customWidth="1"/>
    <col min="2" max="2" width="47" customWidth="1"/>
    <col min="3" max="3" width="14.140625" customWidth="1"/>
    <col min="4" max="4" width="14.5703125" customWidth="1"/>
    <col min="5" max="5" width="21.28515625" customWidth="1"/>
  </cols>
  <sheetData>
    <row r="1" spans="1:5" x14ac:dyDescent="0.25">
      <c r="A1" s="1" t="s">
        <v>4</v>
      </c>
      <c r="B1" s="2" t="s">
        <v>5</v>
      </c>
      <c r="C1" s="1"/>
      <c r="D1" s="1" t="s">
        <v>6</v>
      </c>
      <c r="E1" s="1">
        <v>15427</v>
      </c>
    </row>
    <row r="2" spans="1:5" x14ac:dyDescent="0.25">
      <c r="A2" s="1" t="s">
        <v>7</v>
      </c>
      <c r="B2" s="2" t="s">
        <v>8</v>
      </c>
      <c r="C2" s="1"/>
      <c r="D2" s="1"/>
      <c r="E2" s="1"/>
    </row>
    <row r="3" spans="1:5" x14ac:dyDescent="0.25">
      <c r="A3" s="1" t="s">
        <v>9</v>
      </c>
      <c r="B3" s="2" t="s">
        <v>10</v>
      </c>
      <c r="C3" s="1"/>
      <c r="D3" s="1"/>
      <c r="E3" s="1"/>
    </row>
    <row r="6" spans="1:5" x14ac:dyDescent="0.25">
      <c r="A6" s="3" t="s">
        <v>2</v>
      </c>
      <c r="B6" s="3" t="s">
        <v>11</v>
      </c>
      <c r="C6" s="4" t="s">
        <v>3</v>
      </c>
      <c r="D6" s="5" t="s">
        <v>3</v>
      </c>
      <c r="E6" s="6" t="s">
        <v>12</v>
      </c>
    </row>
    <row r="7" spans="1:5" x14ac:dyDescent="0.25">
      <c r="A7" s="7"/>
      <c r="B7" s="7"/>
      <c r="C7" s="4" t="s">
        <v>1</v>
      </c>
      <c r="D7" s="5" t="s">
        <v>0</v>
      </c>
      <c r="E7" s="6" t="s">
        <v>10</v>
      </c>
    </row>
    <row r="8" spans="1:5" x14ac:dyDescent="0.25">
      <c r="A8" s="8">
        <v>46143</v>
      </c>
      <c r="B8" s="7" t="s">
        <v>13</v>
      </c>
      <c r="C8" s="7"/>
      <c r="D8" s="7"/>
      <c r="E8" s="9">
        <v>130404.10999999987</v>
      </c>
    </row>
    <row r="9" spans="1:5" s="23" customFormat="1" ht="135" x14ac:dyDescent="0.25">
      <c r="A9" s="18">
        <v>46153</v>
      </c>
      <c r="B9" s="19" t="s">
        <v>14</v>
      </c>
      <c r="C9" s="20"/>
      <c r="D9" s="21">
        <v>232194</v>
      </c>
      <c r="E9" s="22">
        <f>E8+D9-C9</f>
        <v>362598.10999999987</v>
      </c>
    </row>
    <row r="10" spans="1:5" ht="89.25" x14ac:dyDescent="0.25">
      <c r="A10" s="10">
        <v>46160</v>
      </c>
      <c r="B10" s="12" t="s">
        <v>15</v>
      </c>
      <c r="C10" s="17">
        <v>250000</v>
      </c>
      <c r="D10" s="16"/>
      <c r="E10" s="13">
        <v>112598.11</v>
      </c>
    </row>
    <row r="11" spans="1:5" s="23" customFormat="1" ht="114.75" x14ac:dyDescent="0.25">
      <c r="A11" s="18">
        <v>46162</v>
      </c>
      <c r="B11" s="24" t="s">
        <v>16</v>
      </c>
      <c r="C11" s="21"/>
      <c r="D11" s="25">
        <v>24162</v>
      </c>
      <c r="E11" s="26">
        <v>136760.10999999999</v>
      </c>
    </row>
    <row r="12" spans="1:5" s="23" customFormat="1" ht="114.75" x14ac:dyDescent="0.25">
      <c r="A12" s="18">
        <v>46164</v>
      </c>
      <c r="B12" s="24" t="s">
        <v>17</v>
      </c>
      <c r="C12" s="20"/>
      <c r="D12" s="25">
        <v>55251</v>
      </c>
      <c r="E12" s="26">
        <v>192011.11</v>
      </c>
    </row>
    <row r="13" spans="1:5" x14ac:dyDescent="0.25">
      <c r="A13" s="10"/>
      <c r="B13" s="11"/>
      <c r="C13" s="14"/>
      <c r="D13" s="14"/>
      <c r="E13" s="9"/>
    </row>
    <row r="14" spans="1:5" x14ac:dyDescent="0.25">
      <c r="A14" s="10"/>
      <c r="B14" s="7"/>
      <c r="C14" s="7"/>
      <c r="D14" s="7"/>
      <c r="E14" s="15"/>
    </row>
    <row r="15" spans="1:5" x14ac:dyDescent="0.25">
      <c r="A15" s="10"/>
      <c r="B15" s="14"/>
      <c r="C15" s="14"/>
      <c r="D15" s="14"/>
      <c r="E15" s="15"/>
    </row>
  </sheetData>
  <hyperlinks>
    <hyperlink ref="B2" r:id="rId1" tooltip="Show Statement Details" display="javascript:Form_userAction('statementdetails','selectedAccountKey','1459987');" xr:uid="{768B2B9D-380E-4A4F-B14D-C87822177DE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202A6-CF8C-4B3D-BBCA-3F70740F9C1F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5A50FD0F-EB70-436D-8A15-44118D030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C16E7A-F3C0-4922-A1E8-6A40F27D41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2026-05-23T19:11:01Z</dcterms:created>
  <dcterms:modified xsi:type="dcterms:W3CDTF">2026-06-17T05:38:50Z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  <property fmtid="{D5CDD505-2E9C-101B-9397-08002B2CF9AE}" pid="3" name="MediaServiceImageTags">
    <vt:lpwstr/>
  </property>
</Properties>
</file>