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C788895D-C2A0-4A71-8B48-E63A4A9F74EE}" xr6:coauthVersionLast="47" xr6:coauthVersionMax="47" xr10:uidLastSave="{00000000-0000-0000-0000-000000000000}"/>
  <bookViews>
    <workbookView xWindow="-120" yWindow="-120" windowWidth="20730" windowHeight="11040" tabRatio="813" xr2:uid="{77E1A22F-28C1-4D22-A688-05BB00D5DA64}"/>
  </bookViews>
  <sheets>
    <sheet name="Bank Stateme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3" l="1"/>
  <c r="E10" i="3" s="1"/>
  <c r="E11" i="3" s="1"/>
  <c r="E12" i="3" s="1"/>
</calcChain>
</file>

<file path=xl/sharedStrings.xml><?xml version="1.0" encoding="utf-8"?>
<sst xmlns="http://schemas.openxmlformats.org/spreadsheetml/2006/main" count="22" uniqueCount="20">
  <si>
    <t>Cr</t>
  </si>
  <si>
    <t>Dr</t>
  </si>
  <si>
    <t>Date</t>
  </si>
  <si>
    <t>Amount</t>
  </si>
  <si>
    <t>Bank</t>
  </si>
  <si>
    <t>Standard Chartered Bank</t>
  </si>
  <si>
    <t>Gl Code</t>
  </si>
  <si>
    <t>Acc No</t>
  </si>
  <si>
    <t>01250858350</t>
  </si>
  <si>
    <t>Currency</t>
  </si>
  <si>
    <t>USD</t>
  </si>
  <si>
    <t>Customer Name</t>
  </si>
  <si>
    <t>Balance</t>
  </si>
  <si>
    <t>Opening Balance</t>
  </si>
  <si>
    <t xml:space="preserve">2026050600049753 000250007 2605060192095055 N GREELEY AVE PORTLAND OR 9721ADIDAS AMERICA, IN C.7-3524 US/ROC/2700373529/INV/312726000037799.3.2026    </t>
  </si>
  <si>
    <t xml:space="preserve">2026051400110608 833370001 2605140562472/20 AVENUE APPIA1/WORLD HEALTH ORGANIZATION2/GENEVA, GENEVE/PURP/SUPP31272700000174/ROC/9500279363/INS/CITIUS33XXX    </t>
  </si>
  <si>
    <t xml:space="preserve">2026051500053700 100081923 2605150203382/345 PARK AVE1/ADOBE INC.3/US/SAN JOSE,951102704,CA/ LOCINS/CRED/INS/CHASUS33XXX    </t>
  </si>
  <si>
    <t xml:space="preserve">PIGIN00123B94851 AYEHU INC 260515122430/INV/I-AS-108     </t>
  </si>
  <si>
    <t xml:space="preserve">6008139H5D310001 GB82BOFA16505068570029 2605200124371/MITED1/ADOBE SYSTEMS SOFTWARE IRELAND LI2/4-6 RIVER WALK CITYWEST BUSINESS C31272600003689    </t>
  </si>
  <si>
    <t xml:space="preserve">2026052200056637 100081923 2605220218962/345 PARK AVE1/ADOBE INC.3/US/SAN JOSE,951102704,CA/ LOCINS/CRED/INS/CHASUS33XXX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</si>
</sst>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1" xfId="0" applyFont="1" applyBorder="1"/>
    <xf numFmtId="0" fontId="8" fillId="0" borderId="1" xfId="4" quotePrefix="1" applyFont="1" applyBorder="1" applyAlignment="1" applyProtection="1"/>
    <xf numFmtId="0" fontId="3" fillId="0" borderId="1" xfId="0" applyFont="1" applyBorder="1"/>
    <xf numFmtId="2" fontId="3" fillId="2" borderId="1" xfId="0" applyNumberFormat="1" applyFont="1" applyFill="1" applyBorder="1"/>
    <xf numFmtId="2" fontId="3" fillId="3" borderId="1" xfId="0" applyNumberFormat="1" applyFont="1" applyFill="1" applyBorder="1"/>
    <xf numFmtId="2" fontId="3" fillId="4" borderId="1" xfId="0" applyNumberFormat="1" applyFont="1" applyFill="1" applyBorder="1"/>
    <xf numFmtId="0" fontId="0" fillId="0" borderId="1" xfId="0" applyBorder="1"/>
    <xf numFmtId="15" fontId="0" fillId="0" borderId="1" xfId="0" applyNumberFormat="1" applyBorder="1" applyAlignment="1">
      <alignment horizontal="left"/>
    </xf>
    <xf numFmtId="15" fontId="6" fillId="0" borderId="1" xfId="0" applyNumberFormat="1" applyFont="1" applyBorder="1"/>
    <xf numFmtId="0" fontId="6" fillId="0" borderId="1" xfId="0" applyFont="1" applyBorder="1"/>
    <xf numFmtId="15" fontId="6" fillId="5" borderId="1" xfId="0" applyNumberFormat="1" applyFont="1" applyFill="1" applyBorder="1"/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/>
    <xf numFmtId="0" fontId="5" fillId="5" borderId="1" xfId="0" applyFont="1" applyFill="1" applyBorder="1"/>
    <xf numFmtId="0" fontId="0" fillId="5" borderId="0" xfId="0" applyFill="1"/>
    <xf numFmtId="15" fontId="0" fillId="5" borderId="1" xfId="0" applyNumberFormat="1" applyFill="1" applyBorder="1"/>
    <xf numFmtId="0" fontId="0" fillId="5" borderId="1" xfId="0" applyFill="1" applyBorder="1"/>
    <xf numFmtId="4" fontId="0" fillId="5" borderId="1" xfId="0" applyNumberFormat="1" applyFill="1" applyBorder="1"/>
  </cellXfs>
  <cellStyles count="5">
    <cellStyle name="Comma 2" xfId="1" xr:uid="{9B607F72-0B79-49ED-ABE8-E038858D5A82}"/>
    <cellStyle name="Hyperlink 2" xfId="4" xr:uid="{937B352E-5BEC-4931-BC96-D849E5C74583}"/>
    <cellStyle name="Normal" xfId="0" builtinId="0"/>
    <cellStyle name="Normal 2 2 2" xfId="2" xr:uid="{DECBC715-18AF-448A-878C-FE1FEA51CE5A}"/>
    <cellStyle name="Normal 6" xfId="3" xr:uid="{E5957CD1-7165-4414-82FC-C82587211E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Form_userAction('statementdetails','selectedAccountKey','1459987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8D-A160-478F-8503-D215432C5F03}">
  <dimension ref="A1:E15"/>
  <sheetViews>
    <sheetView tabSelected="1" workbookViewId="0">
      <selection activeCell="B9" sqref="B9"/>
    </sheetView>
  </sheetViews>
  <sheetFormatPr defaultRowHeight="15" x14ac:dyDescent="0.25"/>
  <cols>
    <col min="1" max="1" width="15.7109375" customWidth="1"/>
    <col min="2" max="2" width="40.7109375" customWidth="1"/>
    <col min="3" max="3" width="16.85546875" customWidth="1"/>
    <col min="4" max="4" width="19.7109375" customWidth="1"/>
    <col min="5" max="5" width="19.5703125" customWidth="1"/>
  </cols>
  <sheetData>
    <row r="1" spans="1:5" x14ac:dyDescent="0.25">
      <c r="A1" s="1" t="s">
        <v>4</v>
      </c>
      <c r="B1" s="2" t="s">
        <v>5</v>
      </c>
      <c r="C1" s="1"/>
      <c r="D1" s="1" t="s">
        <v>6</v>
      </c>
      <c r="E1" s="1">
        <v>15419</v>
      </c>
    </row>
    <row r="2" spans="1:5" x14ac:dyDescent="0.25">
      <c r="A2" s="1" t="s">
        <v>7</v>
      </c>
      <c r="B2" s="2" t="s">
        <v>8</v>
      </c>
      <c r="C2" s="1"/>
      <c r="D2" s="1"/>
      <c r="E2" s="1"/>
    </row>
    <row r="3" spans="1:5" x14ac:dyDescent="0.25">
      <c r="A3" s="1" t="s">
        <v>9</v>
      </c>
      <c r="B3" s="2" t="s">
        <v>10</v>
      </c>
      <c r="C3" s="1"/>
      <c r="D3" s="1"/>
      <c r="E3" s="1"/>
    </row>
    <row r="6" spans="1:5" x14ac:dyDescent="0.25">
      <c r="A6" s="3" t="s">
        <v>2</v>
      </c>
      <c r="B6" s="3" t="s">
        <v>11</v>
      </c>
      <c r="C6" s="4" t="s">
        <v>3</v>
      </c>
      <c r="D6" s="5" t="s">
        <v>3</v>
      </c>
      <c r="E6" s="6" t="s">
        <v>12</v>
      </c>
    </row>
    <row r="7" spans="1:5" x14ac:dyDescent="0.25">
      <c r="A7" s="7"/>
      <c r="B7" s="7"/>
      <c r="C7" s="4" t="s">
        <v>1</v>
      </c>
      <c r="D7" s="5" t="s">
        <v>0</v>
      </c>
      <c r="E7" s="6" t="s">
        <v>10</v>
      </c>
    </row>
    <row r="8" spans="1:5" x14ac:dyDescent="0.25">
      <c r="A8" s="8">
        <v>46143</v>
      </c>
      <c r="B8" s="7" t="s">
        <v>13</v>
      </c>
      <c r="C8" s="7"/>
      <c r="D8" s="7"/>
      <c r="E8" s="7">
        <v>59844.200000000317</v>
      </c>
    </row>
    <row r="9" spans="1:5" s="15" customFormat="1" ht="90" x14ac:dyDescent="0.25">
      <c r="A9" s="11">
        <v>46148</v>
      </c>
      <c r="B9" s="12" t="s">
        <v>14</v>
      </c>
      <c r="C9" s="13">
        <v>0</v>
      </c>
      <c r="D9" s="14">
        <v>20500</v>
      </c>
      <c r="E9" s="13">
        <f>E8+D9-C9</f>
        <v>80344.200000000317</v>
      </c>
    </row>
    <row r="10" spans="1:5" s="15" customFormat="1" x14ac:dyDescent="0.25">
      <c r="A10" s="11">
        <v>46156</v>
      </c>
      <c r="B10" s="13" t="s">
        <v>15</v>
      </c>
      <c r="C10" s="13">
        <v>0</v>
      </c>
      <c r="D10" s="13">
        <v>4465</v>
      </c>
      <c r="E10" s="13">
        <f>E9+D10-C10</f>
        <v>84809.200000000317</v>
      </c>
    </row>
    <row r="11" spans="1:5" s="15" customFormat="1" x14ac:dyDescent="0.25">
      <c r="A11" s="11">
        <v>46157</v>
      </c>
      <c r="B11" s="13" t="s">
        <v>16</v>
      </c>
      <c r="C11" s="13">
        <v>0</v>
      </c>
      <c r="D11" s="13">
        <v>3600</v>
      </c>
      <c r="E11" s="13">
        <f>E10+D11-C11</f>
        <v>88409.200000000317</v>
      </c>
    </row>
    <row r="12" spans="1:5" s="15" customFormat="1" x14ac:dyDescent="0.25">
      <c r="A12" s="11">
        <v>46157</v>
      </c>
      <c r="B12" s="13" t="s">
        <v>17</v>
      </c>
      <c r="C12" s="13">
        <v>43120</v>
      </c>
      <c r="D12" s="13">
        <v>0</v>
      </c>
      <c r="E12" s="13">
        <f>E11+D12-C12</f>
        <v>45289.200000000317</v>
      </c>
    </row>
    <row r="13" spans="1:5" s="15" customFormat="1" x14ac:dyDescent="0.25">
      <c r="A13" s="16">
        <v>46162</v>
      </c>
      <c r="B13" s="17" t="s">
        <v>18</v>
      </c>
      <c r="C13" s="17">
        <v>0</v>
      </c>
      <c r="D13" s="17">
        <v>9176</v>
      </c>
      <c r="E13" s="18">
        <v>54465.2</v>
      </c>
    </row>
    <row r="14" spans="1:5" s="15" customFormat="1" x14ac:dyDescent="0.25">
      <c r="A14" s="16">
        <v>46164</v>
      </c>
      <c r="B14" s="17" t="s">
        <v>19</v>
      </c>
      <c r="C14" s="17">
        <v>0</v>
      </c>
      <c r="D14" s="17">
        <v>3800</v>
      </c>
      <c r="E14" s="18">
        <v>58265.2</v>
      </c>
    </row>
    <row r="15" spans="1:5" x14ac:dyDescent="0.25">
      <c r="A15" s="9"/>
      <c r="B15" s="10"/>
      <c r="C15" s="10"/>
      <c r="D15" s="10"/>
      <c r="E15" s="10"/>
    </row>
  </sheetData>
  <hyperlinks>
    <hyperlink ref="B2" r:id="rId1" tooltip="Show Statement Details" display="javascript:Form_userAction('statementdetails','selectedAccountKey','1459987');" xr:uid="{6D68A0F9-AAAF-4232-9813-04E3B95E963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3" ma:contentTypeDescription="Create a new document." ma:contentTypeScope="" ma:versionID="cb01fbfcbe30f799ae2d05f303b9c6f7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7f5a31b52abed4baa686a4e99c39f93e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DC087F-3AEE-4ABF-AD74-C2EE9689612D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2.xml><?xml version="1.0" encoding="utf-8"?>
<ds:datastoreItem xmlns:ds="http://schemas.openxmlformats.org/officeDocument/2006/customXml" ds:itemID="{19605B78-0CF3-4426-A50D-9464081D3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EBD973-3487-46CB-A766-9689312C23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2026-05-23T20:48:26Z</dcterms:created>
  <dcterms:modified xsi:type="dcterms:W3CDTF">2026-06-17T05:36:44Z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  <property fmtid="{D5CDD505-2E9C-101B-9397-08002B2CF9AE}" pid="3" name="MediaServiceImageTags">
    <vt:lpwstr/>
  </property>
</Properties>
</file>