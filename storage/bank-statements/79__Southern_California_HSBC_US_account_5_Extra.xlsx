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nk State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<sst xmlns="http://schemas.openxmlformats.org/spreadsheetml/2006/main" count="807" uniqueCount="139">
  <si>
    <t xml:space="preserve">Account name</t>
  </si>
  <si>
    <t xml:space="preserve">Account number</t>
  </si>
  <si>
    <t xml:space="preserve">Bank name</t>
  </si>
  <si>
    <t xml:space="preserve">Currency</t>
  </si>
  <si>
    <t xml:space="preserve">Location</t>
  </si>
  <si>
    <t xml:space="preserve">BIC</t>
  </si>
  <si>
    <t xml:space="preserve">IBAN</t>
  </si>
  <si>
    <t xml:space="preserve">Account status</t>
  </si>
  <si>
    <t xml:space="preserve">Account type</t>
  </si>
  <si>
    <t xml:space="preserve">Closing ledger balance</t>
  </si>
  <si>
    <t xml:space="preserve">Closing ledger brought forward from</t>
  </si>
  <si>
    <t xml:space="preserve">Closing available balance</t>
  </si>
  <si>
    <t xml:space="preserve">Closing available brought forward from</t>
  </si>
  <si>
    <t xml:space="preserve">Current ledger balance</t>
  </si>
  <si>
    <t xml:space="preserve">Current ledger as at</t>
  </si>
  <si>
    <t xml:space="preserve">Current available balance</t>
  </si>
  <si>
    <t xml:space="preserve">Current available as at</t>
  </si>
  <si>
    <t xml:space="preserve">Bank reference</t>
  </si>
  <si>
    <t xml:space="preserve">Narrative</t>
  </si>
  <si>
    <t xml:space="preserve">Customer reference</t>
  </si>
  <si>
    <t xml:space="preserve">TRN type</t>
  </si>
  <si>
    <t xml:space="preserve">TRN status</t>
  </si>
  <si>
    <t xml:space="preserve">Value date</t>
  </si>
  <si>
    <t xml:space="preserve">Credit amount</t>
  </si>
  <si>
    <t xml:space="preserve">Debit amount</t>
  </si>
  <si>
    <t xml:space="preserve">Balance</t>
  </si>
  <si>
    <t xml:space="preserve">Post date</t>
  </si>
  <si>
    <t xml:space="preserve">Zensar Technologies Limited</t>
  </si>
  <si>
    <t xml:space="preserve">914031244</t>
  </si>
  <si>
    <t xml:space="preserve">HSBC Bank USA NA</t>
  </si>
  <si>
    <t xml:space="preserve">USD</t>
  </si>
  <si>
    <t xml:space="preserve">United States</t>
  </si>
  <si>
    <t xml:space="preserve">MRMDUS33</t>
  </si>
  <si>
    <t xml:space="preserve">Not Available</t>
  </si>
  <si>
    <t xml:space="preserve">Active</t>
  </si>
  <si>
    <t xml:space="preserve">Current account</t>
  </si>
  <si>
    <t xml:space="preserve">15/05/2026</t>
  </si>
  <si>
    <t xml:space="preserve">18/05/2026 04:05</t>
  </si>
  <si>
    <t xml:space="preserve">0501082657419945</t>
  </si>
  <si>
    <t xml:space="preserve">ACH CONCENTRATION CREDIT ACH CORP TRADE PAYMENT FROM AMERISOURCE BERG AMERISOUR PAYMENTS 0030024516</t>
  </si>
  <si>
    <t xml:space="preserve">NONREF</t>
  </si>
  <si>
    <t xml:space="preserve">Transfer</t>
  </si>
  <si>
    <t xml:space="preserve">Posted</t>
  </si>
  <si>
    <t xml:space="preserve">01/05/2026</t>
  </si>
  <si>
    <t xml:space="preserve">0504080807319647</t>
  </si>
  <si>
    <t xml:space="preserve">04/05/2026</t>
  </si>
  <si>
    <t xml:space="preserve">0504080807320807</t>
  </si>
  <si>
    <t xml:space="preserve">ACH CONCENTRATION CREDIT ACH CASH CONCENTRATION ASSURANT, INC.-PAYMENTS Assurant, PAYMENTS 100572500000285</t>
  </si>
  <si>
    <t xml:space="preserve">0504080807321283</t>
  </si>
  <si>
    <t xml:space="preserve">ACH CONCENTRATION CREDIT ACH CASH CONCENTRATION READERLINK DISTR-EDI PYMNTS Readerlin EDI PYMNTS 00007352</t>
  </si>
  <si>
    <t xml:space="preserve">124276266</t>
  </si>
  <si>
    <t xml:space="preserve">BOOK TRANSFER DEBIT 45BOOK DEBIT ZENSAR TECHNOLOGIES LIMITED*BNF:ZENSAR TECHNOLOGIES LIMITED,INDIA,PUNE,PUNE*OBI:CROSS CHARGES PAY*BBI:/DAS/REF:40877F S01N7T*STBOOK*TIME:0731*YOUR REF:INTERCOM PAY*OUR REF:124276266</t>
  </si>
  <si>
    <t xml:space="preserve">INTERCOM PAY</t>
  </si>
  <si>
    <t xml:space="preserve">Tt</t>
  </si>
  <si>
    <t xml:space="preserve">125398764</t>
  </si>
  <si>
    <t xml:space="preserve">FOREIGN REMITTANCE CREDIT 33RECD CHIP CITIBANK NA*ORG:FIRSTSOURCE GROUP USA, INC,40223-0000 ,LOUISVILLE *OGB:CITIBANK NA,NEW YORK*BNF:ZENSAR TECHNOLOG IES LIMITED,INDIA/IN,PLOT NO. 4, MIDC, O*STCHIPSEQ:00503028*TIME: 1340*YOUR REF:NOTPROVIDED*OUR REF:125398764</t>
  </si>
  <si>
    <t xml:space="preserve">D0361251619901</t>
  </si>
  <si>
    <t xml:space="preserve">05/05/2026</t>
  </si>
  <si>
    <t xml:space="preserve">0506081036775269</t>
  </si>
  <si>
    <t xml:space="preserve">06/05/2026</t>
  </si>
  <si>
    <t xml:space="preserve">0508081434866818</t>
  </si>
  <si>
    <t xml:space="preserve">ACH CONCENTRATION CREDIT ACH CASH CONCENTRATION KNOWRISK INC-MERCURYACH KnowRisk MercuryACH MRCR-ZU6JRPE0MK</t>
  </si>
  <si>
    <t xml:space="preserve">08/05/2026</t>
  </si>
  <si>
    <t xml:space="preserve">0508220431320699</t>
  </si>
  <si>
    <t xml:space="preserve">ACH CONCENTRATION CREDIT ACH CASH CONCENTRATION CUSTOMIZED SERVI-1117270000 CUSTOMIZE 1117270000 70526177593028</t>
  </si>
  <si>
    <t xml:space="preserve">0511080705434365</t>
  </si>
  <si>
    <t xml:space="preserve">11/05/2026</t>
  </si>
  <si>
    <t xml:space="preserve">0512081455434207</t>
  </si>
  <si>
    <t xml:space="preserve">12/05/2026</t>
  </si>
  <si>
    <t xml:space="preserve">133089596</t>
  </si>
  <si>
    <t xml:space="preserve">FOREIGN REMITTANCE CREDIT 33RECD CHIP JPMORGAN CHASE BANK*ORG:1/SITA INFORMATION NETWORKING COMPU,3/CZ/PRAGUE 4,148 00*OGB:JPMORGAN CHASE BANK,TAMPA,10410 H IGHLAND MANOR DRIVE*BNF:ZENSAR TECHNOLOGIES LIMITED,INDIA/IN,PLOT NO. 4, MIDC, O*OBI:SUPPNUM 40923*BBI:/ACC//BNF/NPSD/*STCHIPSEQ:0 0096106*TIME:2252*YOUR REF:CAP OF 26/05/12*OUR REF:133089596</t>
  </si>
  <si>
    <t xml:space="preserve">0541600132JO</t>
  </si>
  <si>
    <t xml:space="preserve">13/05/2026</t>
  </si>
  <si>
    <t xml:space="preserve">0513081251306258</t>
  </si>
  <si>
    <t xml:space="preserve">0513081251307231</t>
  </si>
  <si>
    <t xml:space="preserve">ACH CONCENTRATION CREDIT ACH CORP TRADE PAYMENT FROM AUTO CLUB ENTERP AUTO CLUB ACE ACH - 12987967</t>
  </si>
  <si>
    <t xml:space="preserve">0515085413783323</t>
  </si>
  <si>
    <t xml:space="preserve">0515085413783742</t>
  </si>
  <si>
    <t xml:space="preserve">ACH CONCENTRATION CREDIT ACH CASH CONCENTRATION ASSURANT, INC.-PAYMENTS Assurant, PAYMENTS 100572500000297</t>
  </si>
  <si>
    <t xml:space="preserve">0515085413783850</t>
  </si>
  <si>
    <t xml:space="preserve">ACH CONCENTRATION CREDIT ACH CASH CONCENTRATION CONMED CORP-EDI PYMNTS CONMED CO EDI PYMNTS 260514-3016947</t>
  </si>
  <si>
    <t xml:space="preserve">138179386</t>
  </si>
  <si>
    <t xml:space="preserve">BOOK TRANSFER DEBIT 45BOOK DEBIT ZENSAR TECHNOLOGIES LIMITED*BNF:ZENSAR TECHNOLOGIES LIMITED,INDIA,PUNE,PUNE*OBI:CROSS CHARGES PAY*BBI:/DAS/REF:63037G 3019KB*STBOOK*TIME:0118*YOUR REF:INTERCOM PAY*OUR REF:138179386</t>
  </si>
  <si>
    <t xml:space="preserve">18/05/2026</t>
  </si>
  <si>
    <t xml:space="preserve">0518080726958075</t>
  </si>
  <si>
    <t xml:space="preserve">0518080726958630</t>
  </si>
  <si>
    <t xml:space="preserve">ACH CREDIT ACH DEPOSIT FROM FARM BUREAU LIFE-PAYABLES FARM BURE PAYABLES ZENSAR TECH LTD</t>
  </si>
  <si>
    <t xml:space="preserve">22/05/2026</t>
  </si>
  <si>
    <t xml:space="preserve">26/05/2026 21:28</t>
  </si>
  <si>
    <t xml:space="preserve">0519125126328447</t>
  </si>
  <si>
    <t xml:space="preserve">MONTHLY CHARGE Bank Charges for the per 01APR2026 TO 30APR2026 Invoice No 2389515</t>
  </si>
  <si>
    <t xml:space="preserve">Charges</t>
  </si>
  <si>
    <t xml:space="preserve">19/05/2026</t>
  </si>
  <si>
    <t xml:space="preserve">140097814</t>
  </si>
  <si>
    <t xml:space="preserve">FOREIGN REMITTANCE CREDIT 33RECD CHIP JPMORGAN CHASE BANK*ORG:1/SITA INFORMATION NETWORKING COMPU,3/CZ/PRAGUE 4,148 00*OGB:JPMORGAN CHASE BANK,TAMPA,10410 H IGHLAND MANOR DRIVE*BNF:ZENSAR TECHNOLOGIES LIMITED,INDIA/IN,PLOT NO. 4, MIDC, O*OBI:SUPPNUM 40923*BBI:/ACC//BNF/NPSD/*STCHIPSEQ:0 0096562*TIME:2254*YOUR REF:CAP OF 26/05/19*OUR REF:140097814</t>
  </si>
  <si>
    <t xml:space="preserve">0467800139JO</t>
  </si>
  <si>
    <t xml:space="preserve">20/05/2026</t>
  </si>
  <si>
    <t xml:space="preserve">0520084158454214</t>
  </si>
  <si>
    <t xml:space="preserve">ACH CONCENTRATION CREDIT ACH CASH CONCENTRATION ASSURANT, INC.-PAYMENTS Assurant, PAYMENTS 100572500004643</t>
  </si>
  <si>
    <t xml:space="preserve">0521081129516437</t>
  </si>
  <si>
    <t xml:space="preserve">ACH CONCENTRATION CREDIT ACH CASH CONCENTRATION MANUBANK GREAT P-PAYABLES MANUBANK PAYABLES 5902</t>
  </si>
  <si>
    <t xml:space="preserve">21/05/2026</t>
  </si>
  <si>
    <t xml:space="preserve">0522165448045281</t>
  </si>
  <si>
    <t xml:space="preserve">ACH CONCENTRATION CREDIT ACH CASH CONCENTRATION SITASC-PAYMENTS SITASC PAYMENTS 1137931</t>
  </si>
  <si>
    <t xml:space="preserve">0522165448045671</t>
  </si>
  <si>
    <t xml:space="preserve">ACH CONCENTRATION CREDIT ACH CASH CONCENTRATION SITASC-PAYMENTS SITASC PAYMENTS 1137932</t>
  </si>
  <si>
    <t xml:space="preserve">29/05/2026</t>
  </si>
  <si>
    <t xml:space="preserve">146160197</t>
  </si>
  <si>
    <t xml:space="preserve">FOREIGN REMITTANCE CREDIT 33RECD CHIP JPMORGAN CHASE BANK*ORG:1/SITA INFORMATION NETWORKING COMPU,3/CZ/PRAGUE 4,148 00*OGB:JPMORGAN CHASE BANK,TAMPA,10410 H IGHLAND MANOR DRIVE*BNF:ZENSAR TECHNOLOGIES LIMITED,INDIA/IN,PLOT NO. 4, MIDC, O*OBI:SUPPNUM 40923*BBI:/ACC//BNF/NPSD/*STCHIPSEQ:0 0011960*TIME:2128*YOUR REF:CAP OF 26/05/21*OUR REF:146160197</t>
  </si>
  <si>
    <t xml:space="preserve">1926400141JO</t>
  </si>
  <si>
    <t xml:space="preserve">26/05/2026</t>
  </si>
  <si>
    <t xml:space="preserve">146160570</t>
  </si>
  <si>
    <t xml:space="preserve">FOREIGN REMITTANCE CREDIT 33RECD CHIP JPMORGAN CHASE BANK*ORG:1/SITA INFORMATION NETWORKING COMPU,3/CZ/PRAGUE 4,148 00*OGB:JPMORGAN CHASE BANK,TAMPA,10410 H IGHLAND MANOR DRIVE*BNF:ZENSAR TECHNOLOGIES LIMITED,INDIA/IN,PLOT NO. 4, MIDC, O*OBI:SUPPNUM 40923*BBI:/ACC//BNF/NPSD/*STCHIPSEQ:0 0011983*TIME:2128*YOUR REF:CAP OF 26/05/21*OUR REF:146160570</t>
  </si>
  <si>
    <t xml:space="preserve">1926500141JO</t>
  </si>
  <si>
    <t xml:space="preserve">146161194</t>
  </si>
  <si>
    <t xml:space="preserve">FOREIGN REMITTANCE CREDIT 33RECD CHIP JPMORGAN CHASE BANK*ORG:1/SITA INFORMATION NETWORKING COMPU,3/CZ/PRAGUE 4,148 00*OGB:JPMORGAN CHASE BANK,TAMPA,10410 H IGHLAND MANOR DRIVE*BNF:ZENSAR TECHNOLOGIES LIMITED,INDIA/IN,PLOT NO. 4, MIDC, O*OBI:SUPPNUM 40923*BBI:/ACC//BNF/NPSD/*STCHIPSEQ:0 0012010*TIME:2128*YOUR REF:CAP OF 26/05/21*OUR REF:146161194</t>
  </si>
  <si>
    <t xml:space="preserve">1926300141JO</t>
  </si>
  <si>
    <t xml:space="preserve">0526081454962345</t>
  </si>
  <si>
    <t xml:space="preserve">0526081454963574</t>
  </si>
  <si>
    <t xml:space="preserve">ACH CONCENTRATION CREDIT ACH CASH CONCENTRATION ASSURANT, INC.-PAYMENTS Assurant, PAYMENTS 100572500000311</t>
  </si>
  <si>
    <t xml:space="preserve">0528081351519998</t>
  </si>
  <si>
    <t xml:space="preserve">ACH CONCENTRATION CREDIT ACH CASH CONCENTRATION TRUSTED MEDIA BR-PAYMENTS TRUSTED M PAYMENTS 40710</t>
  </si>
  <si>
    <t xml:space="preserve">28/05/2026</t>
  </si>
  <si>
    <t xml:space="preserve">0529085554880826</t>
  </si>
  <si>
    <t xml:space="preserve">ACH CONCENTRATION CREDIT ACH CASH CONCENTRATION CONMED CORP-EDI PYMNTS CONMED CO EDI PYMNTS 260528-3017165</t>
  </si>
  <si>
    <t xml:space="preserve">0529085554881794</t>
  </si>
  <si>
    <t xml:space="preserve">ACH CONCENTRATION CREDIT ACH CASH CONCENTRATION BAXTER PLANNING-ACCTVERIFY BAXTER PL ACCTVERIFY 016ADTRPT44HQN4</t>
  </si>
  <si>
    <t xml:space="preserve">0601082657420001</t>
  </si>
  <si>
    <t xml:space="preserve">01/06/2026</t>
  </si>
  <si>
    <t xml:space="preserve">0602081036775555</t>
  </si>
  <si>
    <t xml:space="preserve">ACH CONCENTRATION CREDIT ACH CASH CONCENTRATION ASSURANT, INC.-PAYMENTS Assurant, PAYMENTS 100572500000325</t>
  </si>
  <si>
    <t xml:space="preserve">02/06/2026</t>
  </si>
  <si>
    <t xml:space="preserve">0602081036776123</t>
  </si>
  <si>
    <t xml:space="preserve">ACH CONCENTRATION CREDIT ACH CASH CONCENTRATION CONMED CORP-EDI PYMNTS CONMED CO EDI PYMNTS 260602-3017890</t>
  </si>
  <si>
    <t xml:space="preserve">150198765</t>
  </si>
  <si>
    <t xml:space="preserve">FOREIGN REMITTANCE CREDIT 33RECD CHIP JPMORGAN CHASE BANK*ORG:1/SITA INFORMATION NETWORKING COMPU,3/CZ/PRAGUE 4,148 00*BNF:ZENSAR TECHNOLOGIES LIMITED,INDIA/IN*OBI:SUPPNUM 40923*YOUR REF:CAP OF 26/06/02*OUR REF:150198765</t>
  </si>
  <si>
    <t xml:space="preserve">03/06/2026</t>
  </si>
  <si>
    <t xml:space="preserve">0603081454963999</t>
  </si>
  <si>
    <t xml:space="preserve">ACH CONCENTRATION CREDIT ACH CASH CONCENTRATION SITASC-PAYMENTS SITASC PAYMENTS 1137999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</si>
</sst>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7" fillId="2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21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7" fillId="2" borderId="2" xfId="21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2" borderId="2" xfId="21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2 2 2" xfId="22"/>
    <cellStyle name="Normal 6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0"/>
  <sheetViews>
    <sheetView showFormulas="false" showGridLines="true" showRowColHeaders="true" showZeros="true" rightToLeft="false" tabSelected="true" showOutlineSymbols="true" defaultGridColor="true" view="normal" topLeftCell="S1" colorId="64" zoomScale="100" zoomScaleNormal="100" zoomScalePageLayoutView="100" workbookViewId="0">
      <selection pane="topLeft" activeCell="W10" activeCellId="0" sqref="W10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7.71"/>
    <col collapsed="false" customWidth="true" hidden="false" outlineLevel="0" max="3" min="3" style="0" width="16.57"/>
    <col collapsed="false" customWidth="true" hidden="false" outlineLevel="0" max="4" min="4" style="0" width="12.15"/>
    <col collapsed="false" customWidth="true" hidden="false" outlineLevel="0" max="5" min="5" style="0" width="13.86"/>
    <col collapsed="false" customWidth="true" hidden="false" outlineLevel="0" max="6" min="6" style="0" width="11"/>
    <col collapsed="false" customWidth="true" hidden="false" outlineLevel="0" max="7" min="7" style="0" width="14.86"/>
    <col collapsed="false" customWidth="true" hidden="false" outlineLevel="0" max="8" min="8" style="0" width="15.85"/>
    <col collapsed="false" customWidth="true" hidden="false" outlineLevel="0" max="9" min="9" style="0" width="15.29"/>
    <col collapsed="false" customWidth="true" hidden="false" outlineLevel="0" max="10" min="10" style="0" width="24.14"/>
    <col collapsed="false" customWidth="true" hidden="false" outlineLevel="0" max="11" min="11" style="0" width="35.85"/>
    <col collapsed="false" customWidth="true" hidden="false" outlineLevel="0" max="12" min="12" style="0" width="25.29"/>
    <col collapsed="false" customWidth="true" hidden="false" outlineLevel="0" max="13" min="13" style="0" width="35.29"/>
    <col collapsed="false" customWidth="true" hidden="false" outlineLevel="0" max="14" min="14" style="0" width="25.29"/>
    <col collapsed="false" customWidth="true" hidden="false" outlineLevel="0" max="15" min="15" style="0" width="25.71"/>
    <col collapsed="false" customWidth="true" hidden="false" outlineLevel="0" max="16" min="16" style="0" width="25.85"/>
    <col collapsed="false" customWidth="true" hidden="false" outlineLevel="0" max="17" min="17" style="0" width="27.57"/>
    <col collapsed="false" customWidth="true" hidden="false" outlineLevel="0" max="18" min="18" style="0" width="17.57"/>
    <col collapsed="false" customWidth="true" hidden="false" outlineLevel="0" max="19" min="19" style="0" width="83.57"/>
    <col collapsed="false" customWidth="true" hidden="false" outlineLevel="0" max="20" min="20" style="0" width="14.29"/>
    <col collapsed="false" customWidth="true" hidden="false" outlineLevel="0" max="21" min="21" style="0" width="9.86"/>
    <col collapsed="false" customWidth="true" hidden="false" outlineLevel="0" max="22" min="22" style="0" width="10.57"/>
    <col collapsed="false" customWidth="true" hidden="false" outlineLevel="0" max="23" min="23" style="0" width="12.42"/>
    <col collapsed="false" customWidth="true" hidden="false" outlineLevel="0" max="24" min="24" style="0" width="16.71"/>
    <col collapsed="false" customWidth="true" hidden="false" outlineLevel="0" max="25" min="25" style="0" width="13.71"/>
    <col collapsed="false" customWidth="true" hidden="false" outlineLevel="0" max="26" min="26" style="0" width="15.85"/>
    <col collapsed="false" customWidth="true" hidden="false" outlineLevel="0" max="27" min="27" style="0" width="10.85"/>
  </cols>
  <sheetData>
    <row r="1" customFormat="false" ht="26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="5" customFormat="true" ht="15" hidden="false" customHeight="false" outlineLevel="0" collapsed="false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3" t="n">
        <v>3790940.46</v>
      </c>
      <c r="K2" s="2" t="s">
        <v>36</v>
      </c>
      <c r="L2" s="3" t="n">
        <v>3790940.46</v>
      </c>
      <c r="M2" s="2" t="s">
        <v>36</v>
      </c>
      <c r="N2" s="3" t="n">
        <v>122762.22</v>
      </c>
      <c r="O2" s="2" t="s">
        <v>37</v>
      </c>
      <c r="P2" s="3" t="n">
        <v>122762.22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  <c r="V2" s="2" t="s">
        <v>42</v>
      </c>
      <c r="W2" s="2" t="s">
        <v>43</v>
      </c>
      <c r="X2" s="4" t="n">
        <v>120316.36</v>
      </c>
      <c r="Y2" s="4"/>
      <c r="Z2" s="3" t="n">
        <v>1920849.74</v>
      </c>
      <c r="AA2" s="2" t="s">
        <v>43</v>
      </c>
    </row>
    <row r="3" s="5" customFormat="true" ht="15" hidden="false" customHeight="false" outlineLevel="0" collapsed="false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3" t="n">
        <v>3790940.46</v>
      </c>
      <c r="K3" s="2" t="s">
        <v>36</v>
      </c>
      <c r="L3" s="3" t="n">
        <v>3790940.46</v>
      </c>
      <c r="M3" s="2" t="s">
        <v>36</v>
      </c>
      <c r="N3" s="3" t="n">
        <v>122762.22</v>
      </c>
      <c r="O3" s="2" t="s">
        <v>37</v>
      </c>
      <c r="P3" s="3" t="n">
        <v>122762.22</v>
      </c>
      <c r="Q3" s="2" t="s">
        <v>37</v>
      </c>
      <c r="R3" s="2" t="s">
        <v>44</v>
      </c>
      <c r="S3" s="2" t="s">
        <v>39</v>
      </c>
      <c r="T3" s="2" t="s">
        <v>40</v>
      </c>
      <c r="U3" s="2" t="s">
        <v>41</v>
      </c>
      <c r="V3" s="2" t="s">
        <v>42</v>
      </c>
      <c r="W3" s="2" t="s">
        <v>45</v>
      </c>
      <c r="X3" s="4" t="n">
        <v>100855.95</v>
      </c>
      <c r="Y3" s="4"/>
      <c r="Z3" s="3" t="n">
        <v>2021705.69</v>
      </c>
      <c r="AA3" s="2" t="s">
        <v>45</v>
      </c>
    </row>
    <row r="4" s="5" customFormat="true" ht="15" hidden="false" customHeight="false" outlineLevel="0" collapsed="false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3" t="n">
        <v>3790940.46</v>
      </c>
      <c r="K4" s="2" t="s">
        <v>36</v>
      </c>
      <c r="L4" s="3" t="n">
        <v>3790940.46</v>
      </c>
      <c r="M4" s="2" t="s">
        <v>36</v>
      </c>
      <c r="N4" s="3" t="n">
        <v>122762.22</v>
      </c>
      <c r="O4" s="2" t="s">
        <v>37</v>
      </c>
      <c r="P4" s="3" t="n">
        <v>122762.22</v>
      </c>
      <c r="Q4" s="2" t="s">
        <v>37</v>
      </c>
      <c r="R4" s="2" t="s">
        <v>46</v>
      </c>
      <c r="S4" s="2" t="s">
        <v>47</v>
      </c>
      <c r="T4" s="2" t="s">
        <v>40</v>
      </c>
      <c r="U4" s="2" t="s">
        <v>41</v>
      </c>
      <c r="V4" s="2" t="s">
        <v>42</v>
      </c>
      <c r="W4" s="2" t="s">
        <v>45</v>
      </c>
      <c r="X4" s="4" t="n">
        <v>302447.36</v>
      </c>
      <c r="Y4" s="4"/>
      <c r="Z4" s="3" t="n">
        <v>2324153.05</v>
      </c>
      <c r="AA4" s="2" t="s">
        <v>45</v>
      </c>
    </row>
    <row r="5" s="5" customFormat="tru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3" t="n">
        <v>3790940.46</v>
      </c>
      <c r="K5" s="2" t="s">
        <v>36</v>
      </c>
      <c r="L5" s="3" t="n">
        <v>3790940.46</v>
      </c>
      <c r="M5" s="2" t="s">
        <v>36</v>
      </c>
      <c r="N5" s="3" t="n">
        <v>122762.22</v>
      </c>
      <c r="O5" s="2" t="s">
        <v>37</v>
      </c>
      <c r="P5" s="3" t="n">
        <v>122762.22</v>
      </c>
      <c r="Q5" s="2" t="s">
        <v>37</v>
      </c>
      <c r="R5" s="2" t="s">
        <v>48</v>
      </c>
      <c r="S5" s="2" t="s">
        <v>49</v>
      </c>
      <c r="T5" s="2" t="s">
        <v>40</v>
      </c>
      <c r="U5" s="2" t="s">
        <v>41</v>
      </c>
      <c r="V5" s="2" t="s">
        <v>42</v>
      </c>
      <c r="W5" s="2" t="s">
        <v>45</v>
      </c>
      <c r="X5" s="4" t="n">
        <v>42240</v>
      </c>
      <c r="Y5" s="4"/>
      <c r="Z5" s="3" t="n">
        <v>2366393.05</v>
      </c>
      <c r="AA5" s="2" t="s">
        <v>45</v>
      </c>
    </row>
    <row r="6" s="5" customFormat="true" ht="15" hidden="false" customHeight="false" outlineLevel="0" collapsed="false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35</v>
      </c>
      <c r="J6" s="3" t="n">
        <v>3790940.46</v>
      </c>
      <c r="K6" s="2" t="s">
        <v>36</v>
      </c>
      <c r="L6" s="3" t="n">
        <v>3790940.46</v>
      </c>
      <c r="M6" s="2" t="s">
        <v>36</v>
      </c>
      <c r="N6" s="3" t="n">
        <v>122762.22</v>
      </c>
      <c r="O6" s="2" t="s">
        <v>37</v>
      </c>
      <c r="P6" s="3" t="n">
        <v>122762.22</v>
      </c>
      <c r="Q6" s="2" t="s">
        <v>37</v>
      </c>
      <c r="R6" s="2" t="s">
        <v>50</v>
      </c>
      <c r="S6" s="2" t="s">
        <v>51</v>
      </c>
      <c r="T6" s="2" t="s">
        <v>52</v>
      </c>
      <c r="U6" s="2" t="s">
        <v>53</v>
      </c>
      <c r="V6" s="2" t="s">
        <v>42</v>
      </c>
      <c r="W6" s="2" t="s">
        <v>45</v>
      </c>
      <c r="X6" s="4"/>
      <c r="Y6" s="4" t="n">
        <v>-653493.45</v>
      </c>
      <c r="Z6" s="3" t="n">
        <v>1712899.6</v>
      </c>
      <c r="AA6" s="2" t="s">
        <v>45</v>
      </c>
    </row>
    <row r="7" s="5" customFormat="true" ht="15" hidden="false" customHeight="false" outlineLevel="0" collapsed="false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  <c r="H7" s="2" t="s">
        <v>34</v>
      </c>
      <c r="I7" s="2" t="s">
        <v>35</v>
      </c>
      <c r="J7" s="3" t="n">
        <v>3790940.46</v>
      </c>
      <c r="K7" s="2" t="s">
        <v>36</v>
      </c>
      <c r="L7" s="3" t="n">
        <v>3790940.46</v>
      </c>
      <c r="M7" s="2" t="s">
        <v>36</v>
      </c>
      <c r="N7" s="3" t="n">
        <v>122762.22</v>
      </c>
      <c r="O7" s="2" t="s">
        <v>37</v>
      </c>
      <c r="P7" s="3" t="n">
        <v>122762.22</v>
      </c>
      <c r="Q7" s="2" t="s">
        <v>37</v>
      </c>
      <c r="R7" s="2" t="s">
        <v>54</v>
      </c>
      <c r="S7" s="2" t="s">
        <v>55</v>
      </c>
      <c r="T7" s="2" t="s">
        <v>56</v>
      </c>
      <c r="U7" s="2" t="s">
        <v>53</v>
      </c>
      <c r="V7" s="2" t="s">
        <v>42</v>
      </c>
      <c r="W7" s="2" t="s">
        <v>57</v>
      </c>
      <c r="X7" s="4" t="n">
        <v>368488</v>
      </c>
      <c r="Y7" s="4"/>
      <c r="Z7" s="3" t="n">
        <v>2081387.6</v>
      </c>
      <c r="AA7" s="2" t="s">
        <v>57</v>
      </c>
    </row>
    <row r="8" s="5" customFormat="true" ht="15" hidden="false" customHeight="false" outlineLevel="0" collapsed="false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  <c r="H8" s="2" t="s">
        <v>34</v>
      </c>
      <c r="I8" s="2" t="s">
        <v>35</v>
      </c>
      <c r="J8" s="3" t="n">
        <v>3790940.46</v>
      </c>
      <c r="K8" s="2" t="s">
        <v>36</v>
      </c>
      <c r="L8" s="3" t="n">
        <v>3790940.46</v>
      </c>
      <c r="M8" s="2" t="s">
        <v>36</v>
      </c>
      <c r="N8" s="3" t="n">
        <v>122762.22</v>
      </c>
      <c r="O8" s="2" t="s">
        <v>37</v>
      </c>
      <c r="P8" s="3" t="n">
        <v>122762.22</v>
      </c>
      <c r="Q8" s="2" t="s">
        <v>37</v>
      </c>
      <c r="R8" s="2" t="s">
        <v>58</v>
      </c>
      <c r="S8" s="2" t="s">
        <v>39</v>
      </c>
      <c r="T8" s="2" t="s">
        <v>40</v>
      </c>
      <c r="U8" s="2" t="s">
        <v>41</v>
      </c>
      <c r="V8" s="2" t="s">
        <v>42</v>
      </c>
      <c r="W8" s="2" t="s">
        <v>59</v>
      </c>
      <c r="X8" s="4" t="n">
        <v>29305.35</v>
      </c>
      <c r="Y8" s="4"/>
      <c r="Z8" s="3" t="n">
        <v>2110692.95</v>
      </c>
      <c r="AA8" s="2" t="s">
        <v>59</v>
      </c>
    </row>
    <row r="9" s="5" customFormat="true" ht="15" hidden="false" customHeight="false" outlineLevel="0" collapsed="false">
      <c r="A9" s="2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32</v>
      </c>
      <c r="G9" s="2" t="s">
        <v>33</v>
      </c>
      <c r="H9" s="2" t="s">
        <v>34</v>
      </c>
      <c r="I9" s="2" t="s">
        <v>35</v>
      </c>
      <c r="J9" s="3" t="n">
        <v>3790940.46</v>
      </c>
      <c r="K9" s="2" t="s">
        <v>36</v>
      </c>
      <c r="L9" s="3" t="n">
        <v>3790940.46</v>
      </c>
      <c r="M9" s="2" t="s">
        <v>36</v>
      </c>
      <c r="N9" s="3" t="n">
        <v>122762.22</v>
      </c>
      <c r="O9" s="2" t="s">
        <v>37</v>
      </c>
      <c r="P9" s="3" t="n">
        <v>122762.22</v>
      </c>
      <c r="Q9" s="2" t="s">
        <v>37</v>
      </c>
      <c r="R9" s="2" t="s">
        <v>60</v>
      </c>
      <c r="S9" s="2" t="s">
        <v>61</v>
      </c>
      <c r="T9" s="2" t="s">
        <v>40</v>
      </c>
      <c r="U9" s="2" t="s">
        <v>41</v>
      </c>
      <c r="V9" s="2" t="s">
        <v>42</v>
      </c>
      <c r="W9" s="2" t="s">
        <v>62</v>
      </c>
      <c r="X9" s="4" t="n">
        <v>17550</v>
      </c>
      <c r="Y9" s="4"/>
      <c r="Z9" s="3" t="n">
        <v>2128242.95</v>
      </c>
      <c r="AA9" s="2" t="s">
        <v>62</v>
      </c>
    </row>
    <row r="10" s="5" customFormat="true" ht="15" hidden="false" customHeight="false" outlineLevel="0" collapsed="false">
      <c r="A10" s="2" t="s">
        <v>27</v>
      </c>
      <c r="B10" s="2" t="s">
        <v>28</v>
      </c>
      <c r="C10" s="2" t="s">
        <v>29</v>
      </c>
      <c r="D10" s="2" t="s">
        <v>30</v>
      </c>
      <c r="E10" s="2" t="s">
        <v>31</v>
      </c>
      <c r="F10" s="2" t="s">
        <v>32</v>
      </c>
      <c r="G10" s="2" t="s">
        <v>33</v>
      </c>
      <c r="H10" s="2" t="s">
        <v>34</v>
      </c>
      <c r="I10" s="2" t="s">
        <v>35</v>
      </c>
      <c r="J10" s="3" t="n">
        <v>3790940.46</v>
      </c>
      <c r="K10" s="2" t="s">
        <v>36</v>
      </c>
      <c r="L10" s="3" t="n">
        <v>3790940.46</v>
      </c>
      <c r="M10" s="2" t="s">
        <v>36</v>
      </c>
      <c r="N10" s="3" t="n">
        <v>122762.22</v>
      </c>
      <c r="O10" s="2" t="s">
        <v>37</v>
      </c>
      <c r="P10" s="3" t="n">
        <v>122762.22</v>
      </c>
      <c r="Q10" s="2" t="s">
        <v>37</v>
      </c>
      <c r="R10" s="2" t="s">
        <v>63</v>
      </c>
      <c r="S10" s="2" t="s">
        <v>64</v>
      </c>
      <c r="T10" s="2" t="s">
        <v>40</v>
      </c>
      <c r="U10" s="2" t="s">
        <v>41</v>
      </c>
      <c r="V10" s="2" t="s">
        <v>42</v>
      </c>
      <c r="W10" s="2" t="s">
        <v>62</v>
      </c>
      <c r="X10" s="4" t="n">
        <v>172000</v>
      </c>
      <c r="Y10" s="4"/>
      <c r="Z10" s="3" t="n">
        <v>2300242.95</v>
      </c>
      <c r="AA10" s="2" t="s">
        <v>62</v>
      </c>
    </row>
    <row r="11" s="5" customFormat="true" ht="15" hidden="false" customHeight="false" outlineLevel="0" collapsed="false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32</v>
      </c>
      <c r="G11" s="2" t="s">
        <v>33</v>
      </c>
      <c r="H11" s="2" t="s">
        <v>34</v>
      </c>
      <c r="I11" s="2" t="s">
        <v>35</v>
      </c>
      <c r="J11" s="3" t="n">
        <v>3790940.46</v>
      </c>
      <c r="K11" s="2" t="s">
        <v>36</v>
      </c>
      <c r="L11" s="3" t="n">
        <v>3790940.46</v>
      </c>
      <c r="M11" s="2" t="s">
        <v>36</v>
      </c>
      <c r="N11" s="3" t="n">
        <v>122762.22</v>
      </c>
      <c r="O11" s="2" t="s">
        <v>37</v>
      </c>
      <c r="P11" s="3" t="n">
        <v>122762.22</v>
      </c>
      <c r="Q11" s="2" t="s">
        <v>37</v>
      </c>
      <c r="R11" s="2" t="s">
        <v>65</v>
      </c>
      <c r="S11" s="2" t="s">
        <v>39</v>
      </c>
      <c r="T11" s="2" t="s">
        <v>40</v>
      </c>
      <c r="U11" s="2" t="s">
        <v>41</v>
      </c>
      <c r="V11" s="2" t="s">
        <v>42</v>
      </c>
      <c r="W11" s="2" t="s">
        <v>66</v>
      </c>
      <c r="X11" s="4" t="n">
        <v>534865.22</v>
      </c>
      <c r="Y11" s="4"/>
      <c r="Z11" s="3" t="n">
        <v>2835108.17</v>
      </c>
      <c r="AA11" s="2" t="s">
        <v>66</v>
      </c>
    </row>
    <row r="12" s="5" customFormat="true" ht="15" hidden="false" customHeight="false" outlineLevel="0" collapsed="false">
      <c r="A12" s="2" t="s">
        <v>27</v>
      </c>
      <c r="B12" s="2" t="s">
        <v>28</v>
      </c>
      <c r="C12" s="2" t="s">
        <v>29</v>
      </c>
      <c r="D12" s="2" t="s">
        <v>30</v>
      </c>
      <c r="E12" s="2" t="s">
        <v>31</v>
      </c>
      <c r="F12" s="2" t="s">
        <v>32</v>
      </c>
      <c r="G12" s="2" t="s">
        <v>33</v>
      </c>
      <c r="H12" s="2" t="s">
        <v>34</v>
      </c>
      <c r="I12" s="2" t="s">
        <v>35</v>
      </c>
      <c r="J12" s="3" t="n">
        <v>3790940.46</v>
      </c>
      <c r="K12" s="2" t="s">
        <v>36</v>
      </c>
      <c r="L12" s="3" t="n">
        <v>3790940.46</v>
      </c>
      <c r="M12" s="2" t="s">
        <v>36</v>
      </c>
      <c r="N12" s="3" t="n">
        <v>122762.22</v>
      </c>
      <c r="O12" s="2" t="s">
        <v>37</v>
      </c>
      <c r="P12" s="3" t="n">
        <v>122762.22</v>
      </c>
      <c r="Q12" s="2" t="s">
        <v>37</v>
      </c>
      <c r="R12" s="2" t="s">
        <v>67</v>
      </c>
      <c r="S12" s="2" t="s">
        <v>39</v>
      </c>
      <c r="T12" s="2" t="s">
        <v>40</v>
      </c>
      <c r="U12" s="2" t="s">
        <v>41</v>
      </c>
      <c r="V12" s="2" t="s">
        <v>42</v>
      </c>
      <c r="W12" s="2" t="s">
        <v>68</v>
      </c>
      <c r="X12" s="4" t="n">
        <v>87350.77</v>
      </c>
      <c r="Y12" s="4"/>
      <c r="Z12" s="3" t="n">
        <v>2922458.94</v>
      </c>
      <c r="AA12" s="2" t="s">
        <v>68</v>
      </c>
    </row>
    <row r="13" s="5" customFormat="true" ht="15" hidden="false" customHeight="false" outlineLevel="0" collapsed="false">
      <c r="A13" s="2" t="s">
        <v>27</v>
      </c>
      <c r="B13" s="2" t="s">
        <v>28</v>
      </c>
      <c r="C13" s="2" t="s">
        <v>29</v>
      </c>
      <c r="D13" s="2" t="s">
        <v>30</v>
      </c>
      <c r="E13" s="2" t="s">
        <v>31</v>
      </c>
      <c r="F13" s="2" t="s">
        <v>32</v>
      </c>
      <c r="G13" s="2" t="s">
        <v>33</v>
      </c>
      <c r="H13" s="2" t="s">
        <v>34</v>
      </c>
      <c r="I13" s="2" t="s">
        <v>35</v>
      </c>
      <c r="J13" s="3" t="n">
        <v>3790940.46</v>
      </c>
      <c r="K13" s="2" t="s">
        <v>36</v>
      </c>
      <c r="L13" s="3" t="n">
        <v>3790940.46</v>
      </c>
      <c r="M13" s="2" t="s">
        <v>36</v>
      </c>
      <c r="N13" s="3" t="n">
        <v>122762.22</v>
      </c>
      <c r="O13" s="2" t="s">
        <v>37</v>
      </c>
      <c r="P13" s="3" t="n">
        <v>122762.22</v>
      </c>
      <c r="Q13" s="2" t="s">
        <v>37</v>
      </c>
      <c r="R13" s="2" t="s">
        <v>69</v>
      </c>
      <c r="S13" s="2" t="s">
        <v>70</v>
      </c>
      <c r="T13" s="2" t="s">
        <v>71</v>
      </c>
      <c r="U13" s="2" t="s">
        <v>53</v>
      </c>
      <c r="V13" s="2" t="s">
        <v>42</v>
      </c>
      <c r="W13" s="2" t="s">
        <v>72</v>
      </c>
      <c r="X13" s="4" t="n">
        <v>38000</v>
      </c>
      <c r="Y13" s="4"/>
      <c r="Z13" s="3" t="n">
        <v>2960458.94</v>
      </c>
      <c r="AA13" s="2" t="s">
        <v>72</v>
      </c>
    </row>
    <row r="14" s="5" customFormat="true" ht="15" hidden="false" customHeight="false" outlineLevel="0" collapsed="false">
      <c r="A14" s="2" t="s">
        <v>27</v>
      </c>
      <c r="B14" s="2" t="s">
        <v>28</v>
      </c>
      <c r="C14" s="2" t="s">
        <v>29</v>
      </c>
      <c r="D14" s="2" t="s">
        <v>30</v>
      </c>
      <c r="E14" s="2" t="s">
        <v>31</v>
      </c>
      <c r="F14" s="2" t="s">
        <v>32</v>
      </c>
      <c r="G14" s="2" t="s">
        <v>33</v>
      </c>
      <c r="H14" s="2" t="s">
        <v>34</v>
      </c>
      <c r="I14" s="2" t="s">
        <v>35</v>
      </c>
      <c r="J14" s="3" t="n">
        <v>3790940.46</v>
      </c>
      <c r="K14" s="2" t="s">
        <v>36</v>
      </c>
      <c r="L14" s="3" t="n">
        <v>3790940.46</v>
      </c>
      <c r="M14" s="2" t="s">
        <v>36</v>
      </c>
      <c r="N14" s="3" t="n">
        <v>122762.22</v>
      </c>
      <c r="O14" s="2" t="s">
        <v>37</v>
      </c>
      <c r="P14" s="3" t="n">
        <v>122762.22</v>
      </c>
      <c r="Q14" s="2" t="s">
        <v>37</v>
      </c>
      <c r="R14" s="2" t="s">
        <v>73</v>
      </c>
      <c r="S14" s="2" t="s">
        <v>39</v>
      </c>
      <c r="T14" s="2" t="s">
        <v>40</v>
      </c>
      <c r="U14" s="2" t="s">
        <v>41</v>
      </c>
      <c r="V14" s="2" t="s">
        <v>42</v>
      </c>
      <c r="W14" s="2" t="s">
        <v>72</v>
      </c>
      <c r="X14" s="4" t="n">
        <v>103827.96</v>
      </c>
      <c r="Y14" s="4"/>
      <c r="Z14" s="3" t="n">
        <v>3064286.9</v>
      </c>
      <c r="AA14" s="2" t="s">
        <v>72</v>
      </c>
    </row>
    <row r="15" s="5" customFormat="true" ht="15" hidden="false" customHeight="false" outlineLevel="0" collapsed="false">
      <c r="A15" s="2" t="s">
        <v>27</v>
      </c>
      <c r="B15" s="2" t="s">
        <v>28</v>
      </c>
      <c r="C15" s="2" t="s">
        <v>29</v>
      </c>
      <c r="D15" s="2" t="s">
        <v>30</v>
      </c>
      <c r="E15" s="2" t="s">
        <v>31</v>
      </c>
      <c r="F15" s="2" t="s">
        <v>32</v>
      </c>
      <c r="G15" s="2" t="s">
        <v>33</v>
      </c>
      <c r="H15" s="2" t="s">
        <v>34</v>
      </c>
      <c r="I15" s="2" t="s">
        <v>35</v>
      </c>
      <c r="J15" s="3" t="n">
        <v>3790940.46</v>
      </c>
      <c r="K15" s="2" t="s">
        <v>36</v>
      </c>
      <c r="L15" s="3" t="n">
        <v>3790940.46</v>
      </c>
      <c r="M15" s="2" t="s">
        <v>36</v>
      </c>
      <c r="N15" s="3" t="n">
        <v>122762.22</v>
      </c>
      <c r="O15" s="2" t="s">
        <v>37</v>
      </c>
      <c r="P15" s="3" t="n">
        <v>122762.22</v>
      </c>
      <c r="Q15" s="2" t="s">
        <v>37</v>
      </c>
      <c r="R15" s="2" t="s">
        <v>74</v>
      </c>
      <c r="S15" s="2" t="s">
        <v>75</v>
      </c>
      <c r="T15" s="2" t="s">
        <v>40</v>
      </c>
      <c r="U15" s="2" t="s">
        <v>41</v>
      </c>
      <c r="V15" s="2" t="s">
        <v>42</v>
      </c>
      <c r="W15" s="2" t="s">
        <v>72</v>
      </c>
      <c r="X15" s="4" t="n">
        <v>97217.28</v>
      </c>
      <c r="Y15" s="4"/>
      <c r="Z15" s="3" t="n">
        <v>3161504.18</v>
      </c>
      <c r="AA15" s="2" t="s">
        <v>72</v>
      </c>
    </row>
    <row r="16" s="5" customFormat="true" ht="15" hidden="false" customHeight="false" outlineLevel="0" collapsed="false">
      <c r="A16" s="2" t="s">
        <v>27</v>
      </c>
      <c r="B16" s="2" t="s">
        <v>28</v>
      </c>
      <c r="C16" s="2" t="s">
        <v>29</v>
      </c>
      <c r="D16" s="2" t="s">
        <v>30</v>
      </c>
      <c r="E16" s="2" t="s">
        <v>31</v>
      </c>
      <c r="F16" s="2" t="s">
        <v>32</v>
      </c>
      <c r="G16" s="2" t="s">
        <v>33</v>
      </c>
      <c r="H16" s="2" t="s">
        <v>34</v>
      </c>
      <c r="I16" s="2" t="s">
        <v>35</v>
      </c>
      <c r="J16" s="3" t="n">
        <v>3790940.46</v>
      </c>
      <c r="K16" s="2" t="s">
        <v>36</v>
      </c>
      <c r="L16" s="3" t="n">
        <v>3790940.46</v>
      </c>
      <c r="M16" s="2" t="s">
        <v>36</v>
      </c>
      <c r="N16" s="3" t="n">
        <v>122762.22</v>
      </c>
      <c r="O16" s="2" t="s">
        <v>37</v>
      </c>
      <c r="P16" s="3" t="n">
        <v>122762.22</v>
      </c>
      <c r="Q16" s="2" t="s">
        <v>37</v>
      </c>
      <c r="R16" s="2" t="s">
        <v>76</v>
      </c>
      <c r="S16" s="2" t="s">
        <v>39</v>
      </c>
      <c r="T16" s="2" t="s">
        <v>40</v>
      </c>
      <c r="U16" s="2" t="s">
        <v>41</v>
      </c>
      <c r="V16" s="2" t="s">
        <v>42</v>
      </c>
      <c r="W16" s="2" t="s">
        <v>36</v>
      </c>
      <c r="X16" s="4" t="n">
        <v>38129.5</v>
      </c>
      <c r="Y16" s="4"/>
      <c r="Z16" s="3" t="n">
        <v>3199633.68</v>
      </c>
      <c r="AA16" s="2" t="s">
        <v>36</v>
      </c>
    </row>
    <row r="17" s="5" customFormat="true" ht="15" hidden="false" customHeight="false" outlineLevel="0" collapsed="false">
      <c r="A17" s="2" t="s">
        <v>27</v>
      </c>
      <c r="B17" s="2" t="s">
        <v>28</v>
      </c>
      <c r="C17" s="2" t="s">
        <v>29</v>
      </c>
      <c r="D17" s="2" t="s">
        <v>30</v>
      </c>
      <c r="E17" s="2" t="s">
        <v>31</v>
      </c>
      <c r="F17" s="2" t="s">
        <v>32</v>
      </c>
      <c r="G17" s="2" t="s">
        <v>33</v>
      </c>
      <c r="H17" s="2" t="s">
        <v>34</v>
      </c>
      <c r="I17" s="2" t="s">
        <v>35</v>
      </c>
      <c r="J17" s="3" t="n">
        <v>3790940.46</v>
      </c>
      <c r="K17" s="2" t="s">
        <v>36</v>
      </c>
      <c r="L17" s="3" t="n">
        <v>3790940.46</v>
      </c>
      <c r="M17" s="2" t="s">
        <v>36</v>
      </c>
      <c r="N17" s="3" t="n">
        <v>122762.22</v>
      </c>
      <c r="O17" s="2" t="s">
        <v>37</v>
      </c>
      <c r="P17" s="3" t="n">
        <v>122762.22</v>
      </c>
      <c r="Q17" s="2" t="s">
        <v>37</v>
      </c>
      <c r="R17" s="2" t="s">
        <v>77</v>
      </c>
      <c r="S17" s="2" t="s">
        <v>78</v>
      </c>
      <c r="T17" s="2" t="s">
        <v>40</v>
      </c>
      <c r="U17" s="2" t="s">
        <v>41</v>
      </c>
      <c r="V17" s="2" t="s">
        <v>42</v>
      </c>
      <c r="W17" s="2" t="s">
        <v>36</v>
      </c>
      <c r="X17" s="4" t="n">
        <v>561306.78</v>
      </c>
      <c r="Y17" s="4"/>
      <c r="Z17" s="3" t="n">
        <v>3760940.46</v>
      </c>
      <c r="AA17" s="2" t="s">
        <v>36</v>
      </c>
    </row>
    <row r="18" s="5" customFormat="true" ht="15" hidden="false" customHeight="false" outlineLevel="0" collapsed="false">
      <c r="A18" s="2" t="s">
        <v>27</v>
      </c>
      <c r="B18" s="2" t="s">
        <v>28</v>
      </c>
      <c r="C18" s="2" t="s">
        <v>29</v>
      </c>
      <c r="D18" s="2" t="s">
        <v>30</v>
      </c>
      <c r="E18" s="2" t="s">
        <v>31</v>
      </c>
      <c r="F18" s="2" t="s">
        <v>32</v>
      </c>
      <c r="G18" s="2" t="s">
        <v>33</v>
      </c>
      <c r="H18" s="2" t="s">
        <v>34</v>
      </c>
      <c r="I18" s="2" t="s">
        <v>35</v>
      </c>
      <c r="J18" s="3" t="n">
        <v>3790940.46</v>
      </c>
      <c r="K18" s="2" t="s">
        <v>36</v>
      </c>
      <c r="L18" s="3" t="n">
        <v>3790940.46</v>
      </c>
      <c r="M18" s="2" t="s">
        <v>36</v>
      </c>
      <c r="N18" s="3" t="n">
        <v>122762.22</v>
      </c>
      <c r="O18" s="2" t="s">
        <v>37</v>
      </c>
      <c r="P18" s="3" t="n">
        <v>122762.22</v>
      </c>
      <c r="Q18" s="2" t="s">
        <v>37</v>
      </c>
      <c r="R18" s="2" t="s">
        <v>79</v>
      </c>
      <c r="S18" s="2" t="s">
        <v>80</v>
      </c>
      <c r="T18" s="2" t="s">
        <v>40</v>
      </c>
      <c r="U18" s="2" t="s">
        <v>41</v>
      </c>
      <c r="V18" s="2" t="s">
        <v>42</v>
      </c>
      <c r="W18" s="2" t="s">
        <v>36</v>
      </c>
      <c r="X18" s="4" t="n">
        <v>30000</v>
      </c>
      <c r="Y18" s="4"/>
      <c r="Z18" s="3" t="n">
        <v>3790940.46</v>
      </c>
      <c r="AA18" s="2" t="s">
        <v>36</v>
      </c>
    </row>
    <row r="19" s="5" customFormat="true" ht="15" hidden="false" customHeight="false" outlineLevel="0" collapsed="false">
      <c r="A19" s="2" t="s">
        <v>27</v>
      </c>
      <c r="B19" s="2" t="s">
        <v>28</v>
      </c>
      <c r="C19" s="2" t="s">
        <v>29</v>
      </c>
      <c r="D19" s="2" t="s">
        <v>30</v>
      </c>
      <c r="E19" s="2" t="s">
        <v>31</v>
      </c>
      <c r="F19" s="2" t="s">
        <v>32</v>
      </c>
      <c r="G19" s="2" t="s">
        <v>33</v>
      </c>
      <c r="H19" s="2" t="s">
        <v>34</v>
      </c>
      <c r="I19" s="2" t="s">
        <v>35</v>
      </c>
      <c r="J19" s="3" t="n">
        <v>3790940.46</v>
      </c>
      <c r="K19" s="2" t="s">
        <v>36</v>
      </c>
      <c r="L19" s="3" t="n">
        <v>3790940.46</v>
      </c>
      <c r="M19" s="2" t="s">
        <v>36</v>
      </c>
      <c r="N19" s="3" t="n">
        <v>122762.22</v>
      </c>
      <c r="O19" s="2" t="s">
        <v>37</v>
      </c>
      <c r="P19" s="3" t="n">
        <v>122762.22</v>
      </c>
      <c r="Q19" s="2" t="s">
        <v>37</v>
      </c>
      <c r="R19" s="2" t="s">
        <v>81</v>
      </c>
      <c r="S19" s="2" t="s">
        <v>82</v>
      </c>
      <c r="T19" s="2" t="s">
        <v>52</v>
      </c>
      <c r="U19" s="2" t="s">
        <v>53</v>
      </c>
      <c r="V19" s="2" t="s">
        <v>42</v>
      </c>
      <c r="W19" s="2" t="s">
        <v>83</v>
      </c>
      <c r="X19" s="4"/>
      <c r="Y19" s="4" t="n">
        <v>-3790000</v>
      </c>
      <c r="Z19" s="3" t="n">
        <v>940.46</v>
      </c>
      <c r="AA19" s="2" t="s">
        <v>83</v>
      </c>
    </row>
    <row r="20" s="5" customFormat="true" ht="15" hidden="false" customHeight="false" outlineLevel="0" collapsed="false">
      <c r="A20" s="2" t="s">
        <v>27</v>
      </c>
      <c r="B20" s="2" t="s">
        <v>28</v>
      </c>
      <c r="C20" s="2" t="s">
        <v>29</v>
      </c>
      <c r="D20" s="2" t="s">
        <v>30</v>
      </c>
      <c r="E20" s="2" t="s">
        <v>31</v>
      </c>
      <c r="F20" s="2" t="s">
        <v>32</v>
      </c>
      <c r="G20" s="2" t="s">
        <v>33</v>
      </c>
      <c r="H20" s="2" t="s">
        <v>34</v>
      </c>
      <c r="I20" s="2" t="s">
        <v>35</v>
      </c>
      <c r="J20" s="3" t="n">
        <v>3790940.46</v>
      </c>
      <c r="K20" s="2" t="s">
        <v>36</v>
      </c>
      <c r="L20" s="3" t="n">
        <v>3790940.46</v>
      </c>
      <c r="M20" s="2" t="s">
        <v>36</v>
      </c>
      <c r="N20" s="3" t="n">
        <v>122762.22</v>
      </c>
      <c r="O20" s="2" t="s">
        <v>37</v>
      </c>
      <c r="P20" s="3" t="n">
        <v>122762.22</v>
      </c>
      <c r="Q20" s="2" t="s">
        <v>37</v>
      </c>
      <c r="R20" s="2" t="s">
        <v>84</v>
      </c>
      <c r="S20" s="2" t="s">
        <v>39</v>
      </c>
      <c r="T20" s="2" t="s">
        <v>40</v>
      </c>
      <c r="U20" s="2" t="s">
        <v>41</v>
      </c>
      <c r="V20" s="2" t="s">
        <v>42</v>
      </c>
      <c r="W20" s="2" t="s">
        <v>83</v>
      </c>
      <c r="X20" s="4" t="n">
        <v>104955.76</v>
      </c>
      <c r="Y20" s="4"/>
      <c r="Z20" s="3" t="n">
        <v>105896.22</v>
      </c>
      <c r="AA20" s="2" t="s">
        <v>83</v>
      </c>
    </row>
    <row r="21" s="5" customFormat="true" ht="15" hidden="false" customHeight="false" outlineLevel="0" collapsed="false">
      <c r="A21" s="2" t="s">
        <v>27</v>
      </c>
      <c r="B21" s="2" t="s">
        <v>28</v>
      </c>
      <c r="C21" s="2" t="s">
        <v>29</v>
      </c>
      <c r="D21" s="2" t="s">
        <v>30</v>
      </c>
      <c r="E21" s="2" t="s">
        <v>31</v>
      </c>
      <c r="F21" s="2" t="s">
        <v>32</v>
      </c>
      <c r="G21" s="2" t="s">
        <v>33</v>
      </c>
      <c r="H21" s="2" t="s">
        <v>34</v>
      </c>
      <c r="I21" s="2" t="s">
        <v>35</v>
      </c>
      <c r="J21" s="3" t="n">
        <v>3790940.46</v>
      </c>
      <c r="K21" s="2" t="s">
        <v>36</v>
      </c>
      <c r="L21" s="3" t="n">
        <v>3790940.46</v>
      </c>
      <c r="M21" s="2" t="s">
        <v>36</v>
      </c>
      <c r="N21" s="3" t="n">
        <v>122762.22</v>
      </c>
      <c r="O21" s="2" t="s">
        <v>37</v>
      </c>
      <c r="P21" s="3" t="n">
        <v>122762.22</v>
      </c>
      <c r="Q21" s="2" t="s">
        <v>37</v>
      </c>
      <c r="R21" s="2" t="s">
        <v>85</v>
      </c>
      <c r="S21" s="2" t="s">
        <v>86</v>
      </c>
      <c r="T21" s="2" t="s">
        <v>40</v>
      </c>
      <c r="U21" s="2" t="s">
        <v>41</v>
      </c>
      <c r="V21" s="2" t="s">
        <v>42</v>
      </c>
      <c r="W21" s="2" t="s">
        <v>83</v>
      </c>
      <c r="X21" s="4" t="n">
        <v>16866</v>
      </c>
      <c r="Y21" s="4"/>
      <c r="Z21" s="3" t="n">
        <v>122762.22</v>
      </c>
      <c r="AA21" s="2" t="s">
        <v>83</v>
      </c>
    </row>
    <row r="22" s="5" customFormat="true" ht="15" hidden="false" customHeight="false" outlineLevel="0" collapsed="false">
      <c r="A22" s="6" t="s">
        <v>27</v>
      </c>
      <c r="B22" s="6" t="s">
        <v>28</v>
      </c>
      <c r="C22" s="6" t="s">
        <v>29</v>
      </c>
      <c r="D22" s="6" t="s">
        <v>30</v>
      </c>
      <c r="E22" s="6" t="s">
        <v>31</v>
      </c>
      <c r="F22" s="6" t="s">
        <v>32</v>
      </c>
      <c r="G22" s="6" t="s">
        <v>33</v>
      </c>
      <c r="H22" s="6" t="s">
        <v>34</v>
      </c>
      <c r="I22" s="6" t="s">
        <v>35</v>
      </c>
      <c r="J22" s="7" t="n">
        <v>381833.23</v>
      </c>
      <c r="K22" s="6" t="s">
        <v>87</v>
      </c>
      <c r="L22" s="7" t="n">
        <v>381833.23</v>
      </c>
      <c r="M22" s="6" t="s">
        <v>87</v>
      </c>
      <c r="N22" s="7" t="n">
        <v>417084.77</v>
      </c>
      <c r="O22" s="6" t="s">
        <v>88</v>
      </c>
      <c r="P22" s="7" t="n">
        <v>417084.77</v>
      </c>
      <c r="Q22" s="6" t="s">
        <v>88</v>
      </c>
      <c r="R22" s="6" t="s">
        <v>89</v>
      </c>
      <c r="S22" s="6" t="s">
        <v>90</v>
      </c>
      <c r="T22" s="6" t="s">
        <v>40</v>
      </c>
      <c r="U22" s="6" t="s">
        <v>91</v>
      </c>
      <c r="V22" s="6" t="s">
        <v>42</v>
      </c>
      <c r="W22" s="6" t="s">
        <v>92</v>
      </c>
      <c r="X22" s="8"/>
      <c r="Y22" s="8" t="n">
        <v>-140.75</v>
      </c>
      <c r="Z22" s="7" t="n">
        <v>122621.47</v>
      </c>
      <c r="AA22" s="6" t="s">
        <v>92</v>
      </c>
    </row>
    <row r="23" s="5" customFormat="true" ht="15" hidden="false" customHeight="false" outlineLevel="0" collapsed="false">
      <c r="A23" s="6" t="s">
        <v>27</v>
      </c>
      <c r="B23" s="6" t="s">
        <v>28</v>
      </c>
      <c r="C23" s="6" t="s">
        <v>29</v>
      </c>
      <c r="D23" s="6" t="s">
        <v>30</v>
      </c>
      <c r="E23" s="6" t="s">
        <v>31</v>
      </c>
      <c r="F23" s="6" t="s">
        <v>32</v>
      </c>
      <c r="G23" s="6" t="s">
        <v>33</v>
      </c>
      <c r="H23" s="6" t="s">
        <v>34</v>
      </c>
      <c r="I23" s="6" t="s">
        <v>35</v>
      </c>
      <c r="J23" s="7" t="n">
        <v>381833.23</v>
      </c>
      <c r="K23" s="6" t="s">
        <v>87</v>
      </c>
      <c r="L23" s="7" t="n">
        <v>381833.23</v>
      </c>
      <c r="M23" s="6" t="s">
        <v>87</v>
      </c>
      <c r="N23" s="7" t="n">
        <v>417084.77</v>
      </c>
      <c r="O23" s="6" t="s">
        <v>88</v>
      </c>
      <c r="P23" s="7" t="n">
        <v>417084.77</v>
      </c>
      <c r="Q23" s="6" t="s">
        <v>88</v>
      </c>
      <c r="R23" s="6" t="s">
        <v>93</v>
      </c>
      <c r="S23" s="6" t="s">
        <v>94</v>
      </c>
      <c r="T23" s="6" t="s">
        <v>95</v>
      </c>
      <c r="U23" s="6" t="s">
        <v>53</v>
      </c>
      <c r="V23" s="6" t="s">
        <v>42</v>
      </c>
      <c r="W23" s="6" t="s">
        <v>96</v>
      </c>
      <c r="X23" s="8" t="n">
        <v>16000</v>
      </c>
      <c r="Y23" s="8"/>
      <c r="Z23" s="7" t="n">
        <v>138621.47</v>
      </c>
      <c r="AA23" s="6" t="s">
        <v>96</v>
      </c>
    </row>
    <row r="24" s="5" customFormat="true" ht="15" hidden="false" customHeight="false" outlineLevel="0" collapsed="false">
      <c r="A24" s="6" t="s">
        <v>27</v>
      </c>
      <c r="B24" s="6" t="s">
        <v>28</v>
      </c>
      <c r="C24" s="6" t="s">
        <v>29</v>
      </c>
      <c r="D24" s="6" t="s">
        <v>30</v>
      </c>
      <c r="E24" s="6" t="s">
        <v>31</v>
      </c>
      <c r="F24" s="6" t="s">
        <v>32</v>
      </c>
      <c r="G24" s="6" t="s">
        <v>33</v>
      </c>
      <c r="H24" s="6" t="s">
        <v>34</v>
      </c>
      <c r="I24" s="6" t="s">
        <v>35</v>
      </c>
      <c r="J24" s="7" t="n">
        <v>381833.23</v>
      </c>
      <c r="K24" s="6" t="s">
        <v>87</v>
      </c>
      <c r="L24" s="7" t="n">
        <v>381833.23</v>
      </c>
      <c r="M24" s="6" t="s">
        <v>87</v>
      </c>
      <c r="N24" s="7" t="n">
        <v>417084.77</v>
      </c>
      <c r="O24" s="6" t="s">
        <v>88</v>
      </c>
      <c r="P24" s="7" t="n">
        <v>417084.77</v>
      </c>
      <c r="Q24" s="6" t="s">
        <v>88</v>
      </c>
      <c r="R24" s="6" t="s">
        <v>97</v>
      </c>
      <c r="S24" s="6" t="s">
        <v>98</v>
      </c>
      <c r="T24" s="6" t="s">
        <v>40</v>
      </c>
      <c r="U24" s="6" t="s">
        <v>41</v>
      </c>
      <c r="V24" s="6" t="s">
        <v>42</v>
      </c>
      <c r="W24" s="6" t="s">
        <v>96</v>
      </c>
      <c r="X24" s="8" t="n">
        <v>500</v>
      </c>
      <c r="Y24" s="8"/>
      <c r="Z24" s="7" t="n">
        <v>139121.47</v>
      </c>
      <c r="AA24" s="6" t="s">
        <v>96</v>
      </c>
    </row>
    <row r="25" s="5" customFormat="true" ht="15" hidden="false" customHeight="false" outlineLevel="0" collapsed="false">
      <c r="A25" s="6" t="s">
        <v>27</v>
      </c>
      <c r="B25" s="6" t="s">
        <v>28</v>
      </c>
      <c r="C25" s="6" t="s">
        <v>29</v>
      </c>
      <c r="D25" s="6" t="s">
        <v>30</v>
      </c>
      <c r="E25" s="6" t="s">
        <v>31</v>
      </c>
      <c r="F25" s="6" t="s">
        <v>32</v>
      </c>
      <c r="G25" s="6" t="s">
        <v>33</v>
      </c>
      <c r="H25" s="6" t="s">
        <v>34</v>
      </c>
      <c r="I25" s="6" t="s">
        <v>35</v>
      </c>
      <c r="J25" s="7" t="n">
        <v>381833.23</v>
      </c>
      <c r="K25" s="6" t="s">
        <v>87</v>
      </c>
      <c r="L25" s="7" t="n">
        <v>381833.23</v>
      </c>
      <c r="M25" s="6" t="s">
        <v>87</v>
      </c>
      <c r="N25" s="7" t="n">
        <v>417084.77</v>
      </c>
      <c r="O25" s="6" t="s">
        <v>88</v>
      </c>
      <c r="P25" s="7" t="n">
        <v>417084.77</v>
      </c>
      <c r="Q25" s="6" t="s">
        <v>88</v>
      </c>
      <c r="R25" s="6" t="s">
        <v>99</v>
      </c>
      <c r="S25" s="6" t="s">
        <v>100</v>
      </c>
      <c r="T25" s="6" t="s">
        <v>40</v>
      </c>
      <c r="U25" s="6" t="s">
        <v>41</v>
      </c>
      <c r="V25" s="6" t="s">
        <v>42</v>
      </c>
      <c r="W25" s="6" t="s">
        <v>101</v>
      </c>
      <c r="X25" s="8" t="n">
        <v>227791.2</v>
      </c>
      <c r="Y25" s="8"/>
      <c r="Z25" s="7" t="n">
        <v>366912.67</v>
      </c>
      <c r="AA25" s="6" t="s">
        <v>101</v>
      </c>
    </row>
    <row r="26" s="5" customFormat="true" ht="15" hidden="false" customHeight="false" outlineLevel="0" collapsed="false">
      <c r="A26" s="6" t="s">
        <v>27</v>
      </c>
      <c r="B26" s="6" t="s">
        <v>28</v>
      </c>
      <c r="C26" s="6" t="s">
        <v>29</v>
      </c>
      <c r="D26" s="6" t="s">
        <v>30</v>
      </c>
      <c r="E26" s="6" t="s">
        <v>31</v>
      </c>
      <c r="F26" s="6" t="s">
        <v>32</v>
      </c>
      <c r="G26" s="6" t="s">
        <v>33</v>
      </c>
      <c r="H26" s="6" t="s">
        <v>34</v>
      </c>
      <c r="I26" s="6" t="s">
        <v>35</v>
      </c>
      <c r="J26" s="7" t="n">
        <v>381833.23</v>
      </c>
      <c r="K26" s="6" t="s">
        <v>87</v>
      </c>
      <c r="L26" s="7" t="n">
        <v>381833.23</v>
      </c>
      <c r="M26" s="6" t="s">
        <v>87</v>
      </c>
      <c r="N26" s="7" t="n">
        <v>417084.77</v>
      </c>
      <c r="O26" s="6" t="s">
        <v>88</v>
      </c>
      <c r="P26" s="7" t="n">
        <v>417084.77</v>
      </c>
      <c r="Q26" s="6" t="s">
        <v>88</v>
      </c>
      <c r="R26" s="6" t="s">
        <v>102</v>
      </c>
      <c r="S26" s="6" t="s">
        <v>103</v>
      </c>
      <c r="T26" s="6" t="s">
        <v>40</v>
      </c>
      <c r="U26" s="6" t="s">
        <v>41</v>
      </c>
      <c r="V26" s="6" t="s">
        <v>42</v>
      </c>
      <c r="W26" s="6" t="s">
        <v>87</v>
      </c>
      <c r="X26" s="8" t="n">
        <v>5169.78</v>
      </c>
      <c r="Y26" s="8"/>
      <c r="Z26" s="7" t="n">
        <v>372082.45</v>
      </c>
      <c r="AA26" s="6" t="s">
        <v>87</v>
      </c>
    </row>
    <row r="27" s="5" customFormat="true" ht="15" hidden="false" customHeight="false" outlineLevel="0" collapsed="false">
      <c r="A27" s="6" t="s">
        <v>27</v>
      </c>
      <c r="B27" s="6" t="s">
        <v>28</v>
      </c>
      <c r="C27" s="6" t="s">
        <v>29</v>
      </c>
      <c r="D27" s="6" t="s">
        <v>30</v>
      </c>
      <c r="E27" s="6" t="s">
        <v>31</v>
      </c>
      <c r="F27" s="6" t="s">
        <v>32</v>
      </c>
      <c r="G27" s="6" t="s">
        <v>33</v>
      </c>
      <c r="H27" s="6" t="s">
        <v>34</v>
      </c>
      <c r="I27" s="6" t="s">
        <v>35</v>
      </c>
      <c r="J27" s="7" t="n">
        <v>381833.23</v>
      </c>
      <c r="K27" s="6" t="s">
        <v>87</v>
      </c>
      <c r="L27" s="7" t="n">
        <v>381833.23</v>
      </c>
      <c r="M27" s="6" t="s">
        <v>87</v>
      </c>
      <c r="N27" s="7" t="n">
        <v>417084.77</v>
      </c>
      <c r="O27" s="6" t="s">
        <v>88</v>
      </c>
      <c r="P27" s="7" t="n">
        <v>417084.77</v>
      </c>
      <c r="Q27" s="6" t="s">
        <v>88</v>
      </c>
      <c r="R27" s="6" t="s">
        <v>104</v>
      </c>
      <c r="S27" s="6" t="s">
        <v>105</v>
      </c>
      <c r="T27" s="6" t="s">
        <v>40</v>
      </c>
      <c r="U27" s="6" t="s">
        <v>41</v>
      </c>
      <c r="V27" s="6" t="s">
        <v>42</v>
      </c>
      <c r="W27" s="6" t="s">
        <v>87</v>
      </c>
      <c r="X27" s="8" t="n">
        <v>9750.78</v>
      </c>
      <c r="Y27" s="8"/>
      <c r="Z27" s="7" t="n">
        <v>381833.23</v>
      </c>
      <c r="AA27" s="6" t="s">
        <v>87</v>
      </c>
    </row>
    <row r="28" s="5" customFormat="true" ht="15" hidden="false" customHeight="false" outlineLevel="0" collapsed="false">
      <c r="A28" s="2" t="s">
        <v>27</v>
      </c>
      <c r="B28" s="2" t="s">
        <v>28</v>
      </c>
      <c r="C28" s="2" t="s">
        <v>29</v>
      </c>
      <c r="D28" s="2" t="s">
        <v>30</v>
      </c>
      <c r="E28" s="2" t="s">
        <v>31</v>
      </c>
      <c r="F28" s="2" t="s">
        <v>32</v>
      </c>
      <c r="G28" s="2" t="s">
        <v>33</v>
      </c>
      <c r="H28" s="2" t="s">
        <v>34</v>
      </c>
      <c r="I28" s="2" t="s">
        <v>35</v>
      </c>
      <c r="J28" s="3" t="n">
        <v>1368816.27</v>
      </c>
      <c r="K28" s="2" t="s">
        <v>106</v>
      </c>
      <c r="L28" s="3" t="n">
        <v>1368816.27</v>
      </c>
      <c r="M28" s="2" t="s">
        <v>106</v>
      </c>
      <c r="N28" s="3" t="n">
        <v>1368816.27</v>
      </c>
      <c r="O28" s="2" t="s">
        <v>33</v>
      </c>
      <c r="P28" s="3" t="n">
        <v>1368816.27</v>
      </c>
      <c r="Q28" s="2" t="s">
        <v>33</v>
      </c>
      <c r="R28" s="2" t="s">
        <v>107</v>
      </c>
      <c r="S28" s="2" t="s">
        <v>108</v>
      </c>
      <c r="T28" s="2" t="s">
        <v>109</v>
      </c>
      <c r="U28" s="2" t="s">
        <v>53</v>
      </c>
      <c r="V28" s="2" t="s">
        <v>42</v>
      </c>
      <c r="W28" s="2" t="s">
        <v>110</v>
      </c>
      <c r="X28" s="4" t="n">
        <v>10000.8</v>
      </c>
      <c r="Y28" s="4"/>
      <c r="Z28" s="3" t="n">
        <v>391834.03</v>
      </c>
      <c r="AA28" s="2" t="s">
        <v>110</v>
      </c>
    </row>
    <row r="29" s="5" customFormat="true" ht="15" hidden="false" customHeight="false" outlineLevel="0" collapsed="false">
      <c r="A29" s="2" t="s">
        <v>27</v>
      </c>
      <c r="B29" s="2" t="s">
        <v>28</v>
      </c>
      <c r="C29" s="2" t="s">
        <v>29</v>
      </c>
      <c r="D29" s="2" t="s">
        <v>30</v>
      </c>
      <c r="E29" s="2" t="s">
        <v>31</v>
      </c>
      <c r="F29" s="2" t="s">
        <v>32</v>
      </c>
      <c r="G29" s="2" t="s">
        <v>33</v>
      </c>
      <c r="H29" s="2" t="s">
        <v>34</v>
      </c>
      <c r="I29" s="2" t="s">
        <v>35</v>
      </c>
      <c r="J29" s="3" t="n">
        <v>1368816.27</v>
      </c>
      <c r="K29" s="2" t="s">
        <v>106</v>
      </c>
      <c r="L29" s="3" t="n">
        <v>1368816.27</v>
      </c>
      <c r="M29" s="2" t="s">
        <v>106</v>
      </c>
      <c r="N29" s="3" t="n">
        <v>1368816.27</v>
      </c>
      <c r="O29" s="2" t="s">
        <v>33</v>
      </c>
      <c r="P29" s="3" t="n">
        <v>1368816.27</v>
      </c>
      <c r="Q29" s="2" t="s">
        <v>33</v>
      </c>
      <c r="R29" s="2" t="s">
        <v>111</v>
      </c>
      <c r="S29" s="2" t="s">
        <v>112</v>
      </c>
      <c r="T29" s="2" t="s">
        <v>113</v>
      </c>
      <c r="U29" s="2" t="s">
        <v>53</v>
      </c>
      <c r="V29" s="2" t="s">
        <v>42</v>
      </c>
      <c r="W29" s="2" t="s">
        <v>110</v>
      </c>
      <c r="X29" s="4" t="n">
        <v>9250.74</v>
      </c>
      <c r="Y29" s="4"/>
      <c r="Z29" s="3" t="n">
        <v>401084.77</v>
      </c>
      <c r="AA29" s="2" t="s">
        <v>110</v>
      </c>
    </row>
    <row r="30" s="5" customFormat="true" ht="15" hidden="false" customHeight="false" outlineLevel="0" collapsed="false">
      <c r="A30" s="2" t="s">
        <v>27</v>
      </c>
      <c r="B30" s="2" t="s">
        <v>28</v>
      </c>
      <c r="C30" s="2" t="s">
        <v>29</v>
      </c>
      <c r="D30" s="2" t="s">
        <v>30</v>
      </c>
      <c r="E30" s="2" t="s">
        <v>31</v>
      </c>
      <c r="F30" s="2" t="s">
        <v>32</v>
      </c>
      <c r="G30" s="2" t="s">
        <v>33</v>
      </c>
      <c r="H30" s="2" t="s">
        <v>34</v>
      </c>
      <c r="I30" s="2" t="s">
        <v>35</v>
      </c>
      <c r="J30" s="3" t="n">
        <v>1368816.27</v>
      </c>
      <c r="K30" s="2" t="s">
        <v>106</v>
      </c>
      <c r="L30" s="3" t="n">
        <v>1368816.27</v>
      </c>
      <c r="M30" s="2" t="s">
        <v>106</v>
      </c>
      <c r="N30" s="3" t="n">
        <v>1368816.27</v>
      </c>
      <c r="O30" s="2" t="s">
        <v>33</v>
      </c>
      <c r="P30" s="3" t="n">
        <v>1368816.27</v>
      </c>
      <c r="Q30" s="2" t="s">
        <v>33</v>
      </c>
      <c r="R30" s="2" t="s">
        <v>114</v>
      </c>
      <c r="S30" s="2" t="s">
        <v>115</v>
      </c>
      <c r="T30" s="2" t="s">
        <v>116</v>
      </c>
      <c r="U30" s="2" t="s">
        <v>53</v>
      </c>
      <c r="V30" s="2" t="s">
        <v>42</v>
      </c>
      <c r="W30" s="2" t="s">
        <v>110</v>
      </c>
      <c r="X30" s="4" t="n">
        <v>16000</v>
      </c>
      <c r="Y30" s="4"/>
      <c r="Z30" s="3" t="n">
        <v>417084.77</v>
      </c>
      <c r="AA30" s="2" t="s">
        <v>110</v>
      </c>
    </row>
    <row r="31" s="5" customFormat="true" ht="15" hidden="false" customHeight="false" outlineLevel="0" collapsed="false">
      <c r="A31" s="2" t="s">
        <v>27</v>
      </c>
      <c r="B31" s="2" t="s">
        <v>28</v>
      </c>
      <c r="C31" s="2" t="s">
        <v>29</v>
      </c>
      <c r="D31" s="2" t="s">
        <v>30</v>
      </c>
      <c r="E31" s="2" t="s">
        <v>31</v>
      </c>
      <c r="F31" s="2" t="s">
        <v>32</v>
      </c>
      <c r="G31" s="2" t="s">
        <v>33</v>
      </c>
      <c r="H31" s="2" t="s">
        <v>34</v>
      </c>
      <c r="I31" s="2" t="s">
        <v>35</v>
      </c>
      <c r="J31" s="3" t="n">
        <v>1368816.27</v>
      </c>
      <c r="K31" s="2" t="s">
        <v>106</v>
      </c>
      <c r="L31" s="3" t="n">
        <v>1368816.27</v>
      </c>
      <c r="M31" s="2" t="s">
        <v>106</v>
      </c>
      <c r="N31" s="3" t="n">
        <v>1368816.27</v>
      </c>
      <c r="O31" s="2" t="s">
        <v>33</v>
      </c>
      <c r="P31" s="3" t="n">
        <v>1368816.27</v>
      </c>
      <c r="Q31" s="2" t="s">
        <v>33</v>
      </c>
      <c r="R31" s="2" t="s">
        <v>117</v>
      </c>
      <c r="S31" s="2" t="s">
        <v>39</v>
      </c>
      <c r="T31" s="2" t="s">
        <v>40</v>
      </c>
      <c r="U31" s="2" t="s">
        <v>41</v>
      </c>
      <c r="V31" s="2" t="s">
        <v>42</v>
      </c>
      <c r="W31" s="2" t="s">
        <v>110</v>
      </c>
      <c r="X31" s="4" t="n">
        <v>102117.01</v>
      </c>
      <c r="Y31" s="4"/>
      <c r="Z31" s="3" t="n">
        <v>519201.78</v>
      </c>
      <c r="AA31" s="2" t="s">
        <v>110</v>
      </c>
    </row>
    <row r="32" s="5" customFormat="true" ht="15" hidden="false" customHeight="false" outlineLevel="0" collapsed="false">
      <c r="A32" s="2" t="s">
        <v>27</v>
      </c>
      <c r="B32" s="2" t="s">
        <v>28</v>
      </c>
      <c r="C32" s="2" t="s">
        <v>29</v>
      </c>
      <c r="D32" s="2" t="s">
        <v>30</v>
      </c>
      <c r="E32" s="2" t="s">
        <v>31</v>
      </c>
      <c r="F32" s="2" t="s">
        <v>32</v>
      </c>
      <c r="G32" s="2" t="s">
        <v>33</v>
      </c>
      <c r="H32" s="2" t="s">
        <v>34</v>
      </c>
      <c r="I32" s="2" t="s">
        <v>35</v>
      </c>
      <c r="J32" s="3" t="n">
        <v>1368816.27</v>
      </c>
      <c r="K32" s="2" t="s">
        <v>106</v>
      </c>
      <c r="L32" s="3" t="n">
        <v>1368816.27</v>
      </c>
      <c r="M32" s="2" t="s">
        <v>106</v>
      </c>
      <c r="N32" s="3" t="n">
        <v>1368816.27</v>
      </c>
      <c r="O32" s="2" t="s">
        <v>33</v>
      </c>
      <c r="P32" s="3" t="n">
        <v>1368816.27</v>
      </c>
      <c r="Q32" s="2" t="s">
        <v>33</v>
      </c>
      <c r="R32" s="2" t="s">
        <v>118</v>
      </c>
      <c r="S32" s="2" t="s">
        <v>119</v>
      </c>
      <c r="T32" s="2" t="s">
        <v>40</v>
      </c>
      <c r="U32" s="2" t="s">
        <v>41</v>
      </c>
      <c r="V32" s="2" t="s">
        <v>42</v>
      </c>
      <c r="W32" s="2" t="s">
        <v>110</v>
      </c>
      <c r="X32" s="4" t="n">
        <v>760350.48</v>
      </c>
      <c r="Y32" s="4"/>
      <c r="Z32" s="3" t="n">
        <v>1279552.26</v>
      </c>
      <c r="AA32" s="2" t="s">
        <v>110</v>
      </c>
    </row>
    <row r="33" s="5" customFormat="true" ht="15" hidden="false" customHeight="false" outlineLevel="0" collapsed="false">
      <c r="A33" s="2" t="s">
        <v>27</v>
      </c>
      <c r="B33" s="2" t="s">
        <v>28</v>
      </c>
      <c r="C33" s="2" t="s">
        <v>29</v>
      </c>
      <c r="D33" s="2" t="s">
        <v>30</v>
      </c>
      <c r="E33" s="2" t="s">
        <v>31</v>
      </c>
      <c r="F33" s="2" t="s">
        <v>32</v>
      </c>
      <c r="G33" s="2" t="s">
        <v>33</v>
      </c>
      <c r="H33" s="2" t="s">
        <v>34</v>
      </c>
      <c r="I33" s="2" t="s">
        <v>35</v>
      </c>
      <c r="J33" s="3" t="n">
        <v>1368816.27</v>
      </c>
      <c r="K33" s="2" t="s">
        <v>106</v>
      </c>
      <c r="L33" s="3" t="n">
        <v>1368816.27</v>
      </c>
      <c r="M33" s="2" t="s">
        <v>106</v>
      </c>
      <c r="N33" s="3" t="n">
        <v>1368816.27</v>
      </c>
      <c r="O33" s="2" t="s">
        <v>33</v>
      </c>
      <c r="P33" s="3" t="n">
        <v>1368816.27</v>
      </c>
      <c r="Q33" s="2" t="s">
        <v>33</v>
      </c>
      <c r="R33" s="2" t="s">
        <v>120</v>
      </c>
      <c r="S33" s="2" t="s">
        <v>121</v>
      </c>
      <c r="T33" s="2" t="s">
        <v>40</v>
      </c>
      <c r="U33" s="2" t="s">
        <v>41</v>
      </c>
      <c r="V33" s="2" t="s">
        <v>42</v>
      </c>
      <c r="W33" s="2" t="s">
        <v>122</v>
      </c>
      <c r="X33" s="4" t="n">
        <v>24264</v>
      </c>
      <c r="Y33" s="4"/>
      <c r="Z33" s="3" t="n">
        <v>1303816.26</v>
      </c>
      <c r="AA33" s="2" t="s">
        <v>122</v>
      </c>
    </row>
    <row r="34" s="5" customFormat="true" ht="15" hidden="false" customHeight="false" outlineLevel="0" collapsed="false">
      <c r="A34" s="2" t="s">
        <v>27</v>
      </c>
      <c r="B34" s="2" t="s">
        <v>28</v>
      </c>
      <c r="C34" s="2" t="s">
        <v>29</v>
      </c>
      <c r="D34" s="2" t="s">
        <v>30</v>
      </c>
      <c r="E34" s="2" t="s">
        <v>31</v>
      </c>
      <c r="F34" s="2" t="s">
        <v>32</v>
      </c>
      <c r="G34" s="2" t="s">
        <v>33</v>
      </c>
      <c r="H34" s="2" t="s">
        <v>34</v>
      </c>
      <c r="I34" s="2" t="s">
        <v>35</v>
      </c>
      <c r="J34" s="3" t="n">
        <v>1368816.27</v>
      </c>
      <c r="K34" s="2" t="s">
        <v>106</v>
      </c>
      <c r="L34" s="3" t="n">
        <v>1368816.27</v>
      </c>
      <c r="M34" s="2" t="s">
        <v>106</v>
      </c>
      <c r="N34" s="3" t="n">
        <v>1368816.27</v>
      </c>
      <c r="O34" s="2" t="s">
        <v>33</v>
      </c>
      <c r="P34" s="3" t="n">
        <v>1368816.27</v>
      </c>
      <c r="Q34" s="2" t="s">
        <v>33</v>
      </c>
      <c r="R34" s="2" t="s">
        <v>123</v>
      </c>
      <c r="S34" s="2" t="s">
        <v>124</v>
      </c>
      <c r="T34" s="2" t="s">
        <v>40</v>
      </c>
      <c r="U34" s="2" t="s">
        <v>41</v>
      </c>
      <c r="V34" s="2" t="s">
        <v>42</v>
      </c>
      <c r="W34" s="2" t="s">
        <v>106</v>
      </c>
      <c r="X34" s="4" t="n">
        <v>65000</v>
      </c>
      <c r="Y34" s="4"/>
      <c r="Z34" s="3" t="n">
        <v>1368816.26</v>
      </c>
      <c r="AA34" s="2" t="s">
        <v>106</v>
      </c>
    </row>
    <row r="35" s="5" customFormat="true" ht="15" hidden="false" customHeight="false" outlineLevel="0" collapsed="false">
      <c r="A35" s="2" t="s">
        <v>27</v>
      </c>
      <c r="B35" s="2" t="s">
        <v>28</v>
      </c>
      <c r="C35" s="2" t="s">
        <v>29</v>
      </c>
      <c r="D35" s="2" t="s">
        <v>30</v>
      </c>
      <c r="E35" s="2" t="s">
        <v>31</v>
      </c>
      <c r="F35" s="2" t="s">
        <v>32</v>
      </c>
      <c r="G35" s="2" t="s">
        <v>33</v>
      </c>
      <c r="H35" s="2" t="s">
        <v>34</v>
      </c>
      <c r="I35" s="2" t="s">
        <v>35</v>
      </c>
      <c r="J35" s="3" t="n">
        <v>1368816.27</v>
      </c>
      <c r="K35" s="2" t="s">
        <v>106</v>
      </c>
      <c r="L35" s="3" t="n">
        <v>1368816.27</v>
      </c>
      <c r="M35" s="2" t="s">
        <v>106</v>
      </c>
      <c r="N35" s="3" t="n">
        <v>1368816.27</v>
      </c>
      <c r="O35" s="2" t="s">
        <v>33</v>
      </c>
      <c r="P35" s="3" t="n">
        <v>1368816.27</v>
      </c>
      <c r="Q35" s="2" t="s">
        <v>33</v>
      </c>
      <c r="R35" s="2" t="s">
        <v>125</v>
      </c>
      <c r="S35" s="2" t="s">
        <v>126</v>
      </c>
      <c r="T35" s="2" t="s">
        <v>40</v>
      </c>
      <c r="U35" s="2" t="s">
        <v>41</v>
      </c>
      <c r="V35" s="2" t="s">
        <v>42</v>
      </c>
      <c r="W35" s="2" t="s">
        <v>106</v>
      </c>
      <c r="X35" s="4" t="n">
        <v>0.01</v>
      </c>
      <c r="Y35" s="4"/>
      <c r="Z35" s="3" t="n">
        <v>1368816.27</v>
      </c>
      <c r="AA35" s="2" t="s">
        <v>106</v>
      </c>
    </row>
    <row r="36" customFormat="false" ht="15" hidden="false" customHeight="false" outlineLevel="0" collapsed="false">
      <c r="A36" s="2" t="s">
        <v>27</v>
      </c>
      <c r="B36" s="2" t="s">
        <v>28</v>
      </c>
      <c r="C36" s="2" t="s">
        <v>29</v>
      </c>
      <c r="D36" s="2" t="s">
        <v>30</v>
      </c>
      <c r="E36" s="2" t="s">
        <v>31</v>
      </c>
      <c r="F36" s="2" t="s">
        <v>32</v>
      </c>
      <c r="G36" s="2" t="s">
        <v>33</v>
      </c>
      <c r="H36" s="2" t="s">
        <v>34</v>
      </c>
      <c r="I36" s="2" t="s">
        <v>35</v>
      </c>
      <c r="J36" s="3" t="n">
        <v>1368816.27</v>
      </c>
      <c r="K36" s="2" t="s">
        <v>106</v>
      </c>
      <c r="L36" s="3" t="n">
        <v>1368816.27</v>
      </c>
      <c r="M36" s="2" t="s">
        <v>106</v>
      </c>
      <c r="N36" s="3" t="n">
        <v>1368816.27</v>
      </c>
      <c r="O36" s="2" t="s">
        <v>33</v>
      </c>
      <c r="P36" s="3" t="n">
        <v>1368816.27</v>
      </c>
      <c r="Q36" s="2" t="s">
        <v>33</v>
      </c>
      <c r="R36" s="2" t="s">
        <v>127</v>
      </c>
      <c r="S36" s="2" t="s">
        <v>39</v>
      </c>
      <c r="T36" s="2" t="s">
        <v>40</v>
      </c>
      <c r="U36" s="2" t="s">
        <v>41</v>
      </c>
      <c r="V36" s="2" t="s">
        <v>42</v>
      </c>
      <c r="W36" s="2" t="s">
        <v>128</v>
      </c>
      <c r="X36" s="4" t="n">
        <v>45000</v>
      </c>
      <c r="Y36" s="4"/>
      <c r="Z36" s="3" t="n">
        <f aca="false">Z35+X36-N(Y36)</f>
        <v>1413816.27</v>
      </c>
      <c r="AA36" s="2" t="s">
        <v>128</v>
      </c>
    </row>
    <row r="37" customFormat="false" ht="15" hidden="false" customHeight="false" outlineLevel="0" collapsed="false">
      <c r="A37" s="2" t="s">
        <v>27</v>
      </c>
      <c r="B37" s="2" t="s">
        <v>28</v>
      </c>
      <c r="C37" s="2" t="s">
        <v>29</v>
      </c>
      <c r="D37" s="2" t="s">
        <v>30</v>
      </c>
      <c r="E37" s="2" t="s">
        <v>31</v>
      </c>
      <c r="F37" s="2" t="s">
        <v>32</v>
      </c>
      <c r="G37" s="2" t="s">
        <v>33</v>
      </c>
      <c r="H37" s="2" t="s">
        <v>34</v>
      </c>
      <c r="I37" s="2" t="s">
        <v>35</v>
      </c>
      <c r="J37" s="3" t="n">
        <v>1368816.27</v>
      </c>
      <c r="K37" s="2" t="s">
        <v>106</v>
      </c>
      <c r="L37" s="3" t="n">
        <v>1368816.27</v>
      </c>
      <c r="M37" s="2" t="s">
        <v>106</v>
      </c>
      <c r="N37" s="3" t="n">
        <v>1368816.27</v>
      </c>
      <c r="O37" s="2" t="s">
        <v>33</v>
      </c>
      <c r="P37" s="3" t="n">
        <v>1368816.27</v>
      </c>
      <c r="Q37" s="2" t="s">
        <v>33</v>
      </c>
      <c r="R37" s="2" t="s">
        <v>129</v>
      </c>
      <c r="S37" s="2" t="s">
        <v>130</v>
      </c>
      <c r="T37" s="2" t="s">
        <v>40</v>
      </c>
      <c r="U37" s="2" t="s">
        <v>41</v>
      </c>
      <c r="V37" s="2" t="s">
        <v>42</v>
      </c>
      <c r="W37" s="2" t="s">
        <v>131</v>
      </c>
      <c r="X37" s="4" t="n">
        <v>128500.5</v>
      </c>
      <c r="Y37" s="4"/>
      <c r="Z37" s="3" t="n">
        <f aca="false">Z36+X37-N(Y37)</f>
        <v>1542316.77</v>
      </c>
      <c r="AA37" s="2" t="s">
        <v>131</v>
      </c>
    </row>
    <row r="38" customFormat="false" ht="15" hidden="false" customHeight="false" outlineLevel="0" collapsed="false">
      <c r="A38" s="2" t="s">
        <v>27</v>
      </c>
      <c r="B38" s="2" t="s">
        <v>28</v>
      </c>
      <c r="C38" s="2" t="s">
        <v>29</v>
      </c>
      <c r="D38" s="2" t="s">
        <v>30</v>
      </c>
      <c r="E38" s="2" t="s">
        <v>31</v>
      </c>
      <c r="F38" s="2" t="s">
        <v>32</v>
      </c>
      <c r="G38" s="2" t="s">
        <v>33</v>
      </c>
      <c r="H38" s="2" t="s">
        <v>34</v>
      </c>
      <c r="I38" s="2" t="s">
        <v>35</v>
      </c>
      <c r="J38" s="3" t="n">
        <v>1368816.27</v>
      </c>
      <c r="K38" s="2" t="s">
        <v>106</v>
      </c>
      <c r="L38" s="3" t="n">
        <v>1368816.27</v>
      </c>
      <c r="M38" s="2" t="s">
        <v>106</v>
      </c>
      <c r="N38" s="3" t="n">
        <v>1368816.27</v>
      </c>
      <c r="O38" s="2" t="s">
        <v>33</v>
      </c>
      <c r="P38" s="3" t="n">
        <v>1368816.27</v>
      </c>
      <c r="Q38" s="2" t="s">
        <v>33</v>
      </c>
      <c r="R38" s="2" t="s">
        <v>132</v>
      </c>
      <c r="S38" s="2" t="s">
        <v>133</v>
      </c>
      <c r="T38" s="2" t="s">
        <v>40</v>
      </c>
      <c r="U38" s="2" t="s">
        <v>41</v>
      </c>
      <c r="V38" s="2" t="s">
        <v>42</v>
      </c>
      <c r="W38" s="2" t="s">
        <v>131</v>
      </c>
      <c r="X38" s="4" t="n">
        <v>76200</v>
      </c>
      <c r="Y38" s="4"/>
      <c r="Z38" s="3" t="n">
        <f aca="false">Z37+X38-N(Y38)</f>
        <v>1618516.77</v>
      </c>
      <c r="AA38" s="2" t="s">
        <v>131</v>
      </c>
    </row>
    <row r="39" customFormat="false" ht="15" hidden="false" customHeight="false" outlineLevel="0" collapsed="false">
      <c r="A39" s="2" t="s">
        <v>27</v>
      </c>
      <c r="B39" s="2" t="s">
        <v>28</v>
      </c>
      <c r="C39" s="2" t="s">
        <v>29</v>
      </c>
      <c r="D39" s="2" t="s">
        <v>30</v>
      </c>
      <c r="E39" s="2" t="s">
        <v>31</v>
      </c>
      <c r="F39" s="2" t="s">
        <v>32</v>
      </c>
      <c r="G39" s="2" t="s">
        <v>33</v>
      </c>
      <c r="H39" s="2" t="s">
        <v>34</v>
      </c>
      <c r="I39" s="2" t="s">
        <v>35</v>
      </c>
      <c r="J39" s="3" t="n">
        <v>1368816.27</v>
      </c>
      <c r="K39" s="2" t="s">
        <v>106</v>
      </c>
      <c r="L39" s="3" t="n">
        <v>1368816.27</v>
      </c>
      <c r="M39" s="2" t="s">
        <v>106</v>
      </c>
      <c r="N39" s="3" t="n">
        <v>1368816.27</v>
      </c>
      <c r="O39" s="2" t="s">
        <v>33</v>
      </c>
      <c r="P39" s="3" t="n">
        <v>1368816.27</v>
      </c>
      <c r="Q39" s="2" t="s">
        <v>33</v>
      </c>
      <c r="R39" s="2" t="s">
        <v>134</v>
      </c>
      <c r="S39" s="2" t="s">
        <v>135</v>
      </c>
      <c r="T39" s="2" t="s">
        <v>40</v>
      </c>
      <c r="U39" s="2" t="s">
        <v>41</v>
      </c>
      <c r="V39" s="2" t="s">
        <v>42</v>
      </c>
      <c r="W39" s="2" t="s">
        <v>136</v>
      </c>
      <c r="X39" s="4" t="n">
        <v>250000</v>
      </c>
      <c r="Y39" s="4"/>
      <c r="Z39" s="3" t="n">
        <f aca="false">Z38+X39-N(Y39)</f>
        <v>1868516.77</v>
      </c>
      <c r="AA39" s="2" t="s">
        <v>136</v>
      </c>
    </row>
    <row r="40" customFormat="false" ht="15" hidden="false" customHeight="false" outlineLevel="0" collapsed="false">
      <c r="A40" s="2" t="s">
        <v>27</v>
      </c>
      <c r="B40" s="2" t="s">
        <v>28</v>
      </c>
      <c r="C40" s="2" t="s">
        <v>29</v>
      </c>
      <c r="D40" s="2" t="s">
        <v>30</v>
      </c>
      <c r="E40" s="2" t="s">
        <v>31</v>
      </c>
      <c r="F40" s="2" t="s">
        <v>32</v>
      </c>
      <c r="G40" s="2" t="s">
        <v>33</v>
      </c>
      <c r="H40" s="2" t="s">
        <v>34</v>
      </c>
      <c r="I40" s="2" t="s">
        <v>35</v>
      </c>
      <c r="J40" s="3" t="n">
        <v>1368816.27</v>
      </c>
      <c r="K40" s="2" t="s">
        <v>106</v>
      </c>
      <c r="L40" s="3" t="n">
        <v>1368816.27</v>
      </c>
      <c r="M40" s="2" t="s">
        <v>106</v>
      </c>
      <c r="N40" s="3" t="n">
        <v>1368816.27</v>
      </c>
      <c r="O40" s="2" t="s">
        <v>33</v>
      </c>
      <c r="P40" s="3" t="n">
        <v>1368816.27</v>
      </c>
      <c r="Q40" s="2" t="s">
        <v>33</v>
      </c>
      <c r="R40" s="2" t="s">
        <v>137</v>
      </c>
      <c r="S40" s="2" t="s">
        <v>138</v>
      </c>
      <c r="T40" s="2" t="s">
        <v>40</v>
      </c>
      <c r="U40" s="2" t="s">
        <v>41</v>
      </c>
      <c r="V40" s="2" t="s">
        <v>42</v>
      </c>
      <c r="W40" s="2" t="s">
        <v>136</v>
      </c>
      <c r="X40" s="4" t="n">
        <v>15750.25</v>
      </c>
      <c r="Y40" s="4"/>
      <c r="Z40" s="3" t="n">
        <f aca="false">Z39+X40-N(Y40)</f>
        <v>1884267.02</v>
      </c>
      <c r="AA40" s="2" t="s">
        <v>136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2024-12-25T11:32:53Z</dcterms:created>
  <dc:creator>Chaitanya Suraj Nair</dc:creator>
  <dc:description/>
  <dc:language>en-US</dc:language>
  <cp:lastModifiedBy>Rahul Dugad</cp:lastModifiedBy>
  <dcterms:modified xsi:type="dcterms:W3CDTF">2026-07-13T05:34:05Z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0x01010065A5B2938AACCA4B96693223FF8155CB</vt:lpwstr>
  </property>
</Properties>
</file>